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7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worksheets/sheet8.xml" ContentType="application/vnd.openxmlformats-officedocument.spreadsheetml.worksheet+xml"/>
  <Override PartName="/xl/tables/table24.xml" ContentType="application/vnd.openxmlformats-officedocument.spreadsheetml.table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cbfeab88f544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3eff44135c54057"/>
    <x:sheet xmlns:r="http://schemas.openxmlformats.org/officeDocument/2006/relationships" name="Fabric ablation" sheetId="2" r:id="R8da9924eb0aa4d3c"/>
    <x:sheet xmlns:r="http://schemas.openxmlformats.org/officeDocument/2006/relationships" name="Design" sheetId="3" r:id="Rd6bb9f34a81e4f80"/>
    <x:sheet xmlns:r="http://schemas.openxmlformats.org/officeDocument/2006/relationships" name="Robustness" sheetId="4" r:id="R59330d15af194ecb"/>
    <x:sheet xmlns:r="http://schemas.openxmlformats.org/officeDocument/2006/relationships" name="Discrepancy controls" sheetId="5" r:id="R8293063a031e4987"/>
    <x:sheet xmlns:r="http://schemas.openxmlformats.org/officeDocument/2006/relationships" name="Profiles" sheetId="6" r:id="R587ccc23ab4949f3"/>
    <x:sheet xmlns:r="http://schemas.openxmlformats.org/officeDocument/2006/relationships" name="Verification" sheetId="7" r:id="Rd3665921978c4450"/>
    <x:sheet xmlns:r="http://schemas.openxmlformats.org/officeDocument/2006/relationships" name="Source index" sheetId="8" r:id="R8cccee0098ea42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.00&quot;×&quot;"/>
    <x:numFmt numFmtId="201" formatCode="0.0000"/>
    <x:numFmt numFmtId="202" formatCode="0.000"/>
    <x:numFmt numFmtId="203" formatCode="0.000000"/>
    <x:numFmt numFmtId="204" formatCode="0.0%"/>
    <x:numFmt numFmtId="205" formatCode="0.0&quot;×&quot;"/>
    <x:numFmt numFmtId="206" formatCode="0.000000E+00"/>
    <x:numFmt numFmtId="207" formatCode="0.000E+00"/>
    <x:numFmt numFmtId="208" formatCode="#,##0"/>
    <x:numFmt numFmtId="209" formatCode="@"/>
  </x:numFmts>
  <x:fonts count="13">
    <x:font>
      <x:sz val="11"/>
      <x:name val="Carlito"/>
    </x:font>
    <x:font>
      <x:b/>
      <x:sz val="17"/>
      <x:color rgb="FFFFFFFF"/>
      <x:name val="Carlito"/>
    </x:font>
    <x:font>
      <x:i/>
      <x:sz val="10"/>
      <x:color rgb="FF1F2937"/>
      <x:name val="Carlito"/>
    </x:font>
    <x:font>
      <x:b/>
      <x:sz val="10"/>
      <x:color rgb="FFFFFFFF"/>
      <x:name val="Carlito"/>
    </x:font>
    <x:font>
      <x:b/>
      <x:sz val="18"/>
      <x:color rgb="FF1F2937"/>
      <x:name val="Carlito"/>
    </x:font>
    <x:font>
      <x:i/>
      <x:sz val="9"/>
      <x:color rgb="FF667085"/>
      <x:name val="Carlito"/>
    </x:font>
    <x:font>
      <x:b/>
      <x:sz val="11"/>
      <x:color rgb="FFFFFFFF"/>
      <x:name val="Carlito"/>
    </x:font>
    <x:font>
      <x:b/>
      <x:sz val="9"/>
      <x:color rgb="FFFFFFFF"/>
      <x:name val="Carlito"/>
    </x:font>
    <x:font>
      <x:sz val="9"/>
      <x:color rgb="FF1F2937"/>
      <x:name val="Carlito"/>
    </x:font>
    <x:font>
      <x:b/>
      <x:sz val="11"/>
      <x:color rgb="FF1F2937"/>
      <x:name val="Carlito"/>
    </x:font>
    <x:font>
      <x:sz val="10"/>
      <x:color rgb="FF1F2937"/>
      <x:name val="Carlito"/>
    </x:font>
    <x:font>
      <x:b/>
      <x:sz val="9"/>
      <x:color rgb="FF1F2937"/>
      <x:name val="Carlito"/>
    </x:font>
    <x:font>
      <x:b/>
      <x:sz val="13"/>
      <x:color rgb="FF2E7D32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EF2F5"/>
      </x:patternFill>
    </x:fill>
    <x:fill>
      <x:patternFill patternType="solid">
        <x:fgColor rgb="FF3478A6"/>
      </x:patternFill>
    </x:fill>
    <x:fill>
      <x:patternFill patternType="solid">
        <x:fgColor rgb="FFFFFFFF"/>
      </x:patternFill>
    </x:fill>
    <x:fill>
      <x:patternFill patternType="solid">
        <x:fgColor rgb="FF2A9D8F"/>
      </x:patternFill>
    </x:fill>
    <x:fill>
      <x:patternFill patternType="solid">
        <x:fgColor rgb="FFF4A261"/>
      </x:patternFill>
    </x:fill>
    <x:fill>
      <x:patternFill patternType="solid">
        <x:fgColor rgb="FF2E7D32"/>
      </x:patternFill>
    </x:fill>
    <x:fill>
      <x:patternFill patternType="solid">
        <x:fgColor rgb="FFE9C46A"/>
      </x:patternFill>
    </x:fill>
    <x:fill>
      <x:patternFill patternType="solid">
        <x:fgColor rgb="FFFFF8E1"/>
      </x:patternFill>
    </x:fill>
    <x:fill>
      <x:patternFill patternType="solid">
        <x:fgColor rgb="FFC94C4C"/>
      </x:patternFill>
    </x:fill>
    <x:fill>
      <x:patternFill patternType="solid">
        <x:fgColor rgb="FFFDECEC"/>
      </x:patternFill>
    </x:fill>
    <x:fill>
      <x:patternFill patternType="solid">
        <x:fgColor rgb="FFE6F4F1"/>
      </x:patternFill>
    </x:fill>
  </x:fills>
  <x:borders count="59">
    <x:border/>
    <x:border>
      <x:left style="thin">
        <x:color rgb="FF3478A6"/>
      </x:left>
      <x:top style="thin">
        <x:color rgb="FF3478A6"/>
      </x:top>
    </x:border>
    <x:border>
      <x:top style="thin">
        <x:color rgb="FF3478A6"/>
      </x:top>
    </x:border>
    <x:border>
      <x:right style="thin">
        <x:color rgb="FF3478A6"/>
      </x:right>
      <x:top style="thin">
        <x:color rgb="FF3478A6"/>
      </x:top>
    </x:border>
    <x:border>
      <x:left style="thin">
        <x:color rgb="FF3478A6"/>
      </x:left>
    </x:border>
    <x:border>
      <x:right style="thin">
        <x:color rgb="FF3478A6"/>
      </x:right>
    </x:border>
    <x:border>
      <x:left style="thin">
        <x:color rgb="FF3478A6"/>
      </x:left>
      <x:bottom style="thin">
        <x:color rgb="FF3478A6"/>
      </x:bottom>
    </x:border>
    <x:border>
      <x:bottom style="thin">
        <x:color rgb="FF3478A6"/>
      </x:bottom>
    </x:border>
    <x:border>
      <x:right style="thin">
        <x:color rgb="FF3478A6"/>
      </x:right>
      <x:bottom style="thin">
        <x:color rgb="FF3478A6"/>
      </x:bottom>
    </x:border>
    <x:border>
      <x:left style="thin">
        <x:color rgb="FF2A9D8F"/>
      </x:left>
      <x:top style="thin">
        <x:color rgb="FF2A9D8F"/>
      </x:top>
    </x:border>
    <x:border>
      <x:top style="thin">
        <x:color rgb="FF2A9D8F"/>
      </x:top>
    </x:border>
    <x:border>
      <x:right style="thin">
        <x:color rgb="FF2A9D8F"/>
      </x:right>
      <x:top style="thin">
        <x:color rgb="FF2A9D8F"/>
      </x:top>
    </x:border>
    <x:border>
      <x:left style="thin">
        <x:color rgb="FF2A9D8F"/>
      </x:left>
    </x:border>
    <x:border>
      <x:right style="thin">
        <x:color rgb="FF2A9D8F"/>
      </x:right>
    </x:border>
    <x:border>
      <x:left style="thin">
        <x:color rgb="FF2A9D8F"/>
      </x:left>
      <x:bottom style="thin">
        <x:color rgb="FF2A9D8F"/>
      </x:bottom>
    </x:border>
    <x:border>
      <x:bottom style="thin">
        <x:color rgb="FF2A9D8F"/>
      </x:bottom>
    </x:border>
    <x:border>
      <x:right style="thin">
        <x:color rgb="FF2A9D8F"/>
      </x:right>
      <x:bottom style="thin">
        <x:color rgb="FF2A9D8F"/>
      </x:bottom>
    </x:border>
    <x:border>
      <x:left style="thin">
        <x:color rgb="FFF4A261"/>
      </x:left>
      <x:top style="thin">
        <x:color rgb="FFF4A261"/>
      </x:top>
    </x:border>
    <x:border>
      <x:top style="thin">
        <x:color rgb="FFF4A261"/>
      </x:top>
    </x:border>
    <x:border>
      <x:right style="thin">
        <x:color rgb="FFF4A261"/>
      </x:right>
      <x:top style="thin">
        <x:color rgb="FFF4A261"/>
      </x:top>
    </x:border>
    <x:border>
      <x:left style="thin">
        <x:color rgb="FFF4A261"/>
      </x:left>
    </x:border>
    <x:border>
      <x:right style="thin">
        <x:color rgb="FFF4A261"/>
      </x:right>
    </x:border>
    <x:border>
      <x:left style="thin">
        <x:color rgb="FFF4A261"/>
      </x:left>
      <x:bottom style="thin">
        <x:color rgb="FFF4A261"/>
      </x:bottom>
    </x:border>
    <x:border>
      <x:bottom style="thin">
        <x:color rgb="FFF4A261"/>
      </x:bottom>
    </x:border>
    <x:border>
      <x:right style="thin">
        <x:color rgb="FFF4A261"/>
      </x:right>
      <x:bottom style="thin">
        <x:color rgb="FFF4A261"/>
      </x:bottom>
    </x:border>
    <x:border>
      <x:left style="thin">
        <x:color rgb="FF2E7D32"/>
      </x:left>
      <x:top style="thin">
        <x:color rgb="FF2E7D32"/>
      </x:top>
    </x:border>
    <x:border>
      <x:right style="thin">
        <x:color rgb="FF2E7D32"/>
      </x:right>
      <x:top style="thin">
        <x:color rgb="FF2E7D32"/>
      </x:top>
    </x:border>
    <x:border>
      <x:left style="thin">
        <x:color rgb="FF2E7D32"/>
      </x:left>
    </x:border>
    <x:border>
      <x:right style="thin">
        <x:color rgb="FF2E7D32"/>
      </x:right>
    </x:border>
    <x:border>
      <x:left style="thin">
        <x:color rgb="FF2E7D32"/>
      </x:left>
      <x:bottom style="thin">
        <x:color rgb="FF2E7D32"/>
      </x:bottom>
    </x:border>
    <x:border>
      <x:right style="thin">
        <x:color rgb="FF2E7D32"/>
      </x:right>
      <x:bottom style="thin">
        <x:color rgb="FF2E7D32"/>
      </x:bottom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E4E7EC"/>
      </x:bottom>
    </x:border>
    <x:border>
      <x:top style="thin">
        <x:color rgb="FFE4E7EC"/>
      </x:top>
      <x:bottom style="thin">
        <x:color rgb="FFE4E7EC"/>
      </x:bottom>
    </x:border>
    <x:border>
      <x:top style="thin">
        <x:color rgb="FFE4E7EC"/>
      </x:top>
    </x:border>
    <x:border>
      <x:left style="thin">
        <x:color rgb="FFE9C46A"/>
      </x:left>
      <x:top style="thin">
        <x:color rgb="FFE9C46A"/>
      </x:top>
    </x:border>
    <x:border>
      <x:top style="thin">
        <x:color rgb="FFE9C46A"/>
      </x:top>
    </x:border>
    <x:border>
      <x:right style="thin">
        <x:color rgb="FFE9C46A"/>
      </x:right>
      <x:top style="thin">
        <x:color rgb="FFE9C46A"/>
      </x:top>
    </x:border>
    <x:border>
      <x:left style="thin">
        <x:color rgb="FFE9C46A"/>
      </x:left>
    </x:border>
    <x:border>
      <x:right style="thin">
        <x:color rgb="FFE9C46A"/>
      </x:right>
    </x:border>
    <x:border>
      <x:left style="thin">
        <x:color rgb="FFE9C46A"/>
      </x:left>
      <x:bottom style="thin">
        <x:color rgb="FFE9C46A"/>
      </x:bottom>
    </x:border>
    <x:border>
      <x:bottom style="thin">
        <x:color rgb="FFE9C46A"/>
      </x:bottom>
    </x:border>
    <x:border>
      <x:right style="thin">
        <x:color rgb="FFE9C46A"/>
      </x:right>
      <x:bottom style="thin">
        <x:color rgb="FFE9C46A"/>
      </x:bottom>
    </x:border>
    <x:border>
      <x:left style="thin">
        <x:color rgb="FFC94C4C"/>
      </x:left>
      <x:top style="thin">
        <x:color rgb="FFC94C4C"/>
      </x:top>
    </x:border>
    <x:border>
      <x:top style="thin">
        <x:color rgb="FFC94C4C"/>
      </x:top>
    </x:border>
    <x:border>
      <x:right style="thin">
        <x:color rgb="FFC94C4C"/>
      </x:right>
      <x:top style="thin">
        <x:color rgb="FFC94C4C"/>
      </x:top>
    </x:border>
    <x:border>
      <x:left style="thin">
        <x:color rgb="FFC94C4C"/>
      </x:left>
    </x:border>
    <x:border>
      <x:right style="thin">
        <x:color rgb="FFC94C4C"/>
      </x:right>
    </x:border>
    <x:border>
      <x:left style="thin">
        <x:color rgb="FFC94C4C"/>
      </x:left>
      <x:bottom style="thin">
        <x:color rgb="FFC94C4C"/>
      </x:bottom>
    </x:border>
    <x:border>
      <x:bottom style="thin">
        <x:color rgb="FFC94C4C"/>
      </x:bottom>
    </x:border>
    <x:border>
      <x:right style="thin">
        <x:color rgb="FFC94C4C"/>
      </x:right>
      <x:bottom style="thin">
        <x:color rgb="FFC94C4C"/>
      </x:bottom>
    </x:border>
    <x:border>
      <x:left style="medium">
        <x:color rgb="FFC94C4C"/>
      </x:left>
      <x:top style="medium">
        <x:color rgb="FFC94C4C"/>
      </x:top>
      <x:bottom style="medium">
        <x:color rgb="FFC94C4C"/>
      </x:bottom>
    </x:border>
    <x:border>
      <x:top style="medium">
        <x:color rgb="FFC94C4C"/>
      </x:top>
      <x:bottom style="medium">
        <x:color rgb="FFC94C4C"/>
      </x:bottom>
    </x:border>
    <x:border>
      <x:right style="medium">
        <x:color rgb="FFC94C4C"/>
      </x:right>
      <x:top style="medium">
        <x:color rgb="FFC94C4C"/>
      </x:top>
      <x:bottom style="medium">
        <x:color rgb="FFC94C4C"/>
      </x:bottom>
    </x:border>
    <x:border>
      <x:left style="thin">
        <x:color rgb="FF2E7D32"/>
      </x:left>
      <x:top style="thin">
        <x:color rgb="FF2E7D32"/>
      </x:top>
      <x:bottom style="thin">
        <x:color rgb="FF2E7D32"/>
      </x:bottom>
    </x:border>
    <x:border>
      <x:top style="thin">
        <x:color rgb="FF2E7D32"/>
      </x:top>
      <x:bottom style="thin">
        <x:color rgb="FF2E7D32"/>
      </x:bottom>
    </x:border>
    <x:border>
      <x:right style="thin">
        <x:color rgb="FF2E7D32"/>
      </x:right>
      <x:top style="thin">
        <x:color rgb="FF2E7D32"/>
      </x:top>
      <x:bottom style="thin">
        <x:color rgb="FF2E7D32"/>
      </x:bottom>
    </x:border>
  </x:borders>
  <x:cellStyleXfs count="1">
    <x:xf numFmtId="0" fontId="0" fillId="0" borderId="0"/>
  </x:cellStyleXfs>
  <x:cellXfs count="3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7" xfId="0" applyNumberFormat="1" applyFont="1" applyFill="1" applyBorder="1" applyAlignment="1">
      <x:alignment horizontal="center"/>
    </x:xf>
    <x:xf numFmtId="0" fontId="4" fillId="5" borderId="8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4" fillId="5" borderId="7" xfId="0" applyNumberFormat="1" applyFont="1" applyFill="1" applyBorder="1" applyAlignment="1">
      <x:alignment horizontal="center" vertical="center"/>
    </x:xf>
    <x:xf numFmtId="0" fontId="4" fillId="5" borderId="8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4" fillId="5" borderId="15" xfId="0" applyNumberFormat="1" applyFont="1" applyFill="1" applyBorder="1"/>
    <x:xf numFmtId="0" fontId="4" fillId="5" borderId="16" xfId="0" applyNumberFormat="1" applyFont="1" applyFill="1" applyBorder="1"/>
    <x:xf numFmtId="0" fontId="4" fillId="5" borderId="9" xfId="0" applyNumberFormat="1" applyFont="1" applyFill="1" applyBorder="1" applyAlignment="1">
      <x:alignment horizontal="center"/>
    </x:xf>
    <x:xf numFmtId="0" fontId="4" fillId="5" borderId="10" xfId="0" applyNumberFormat="1" applyFont="1" applyFill="1" applyBorder="1" applyAlignment="1">
      <x:alignment horizontal="center"/>
    </x:xf>
    <x:xf numFmtId="0" fontId="4" fillId="5" borderId="11" xfId="0" applyNumberFormat="1" applyFont="1" applyFill="1" applyBorder="1" applyAlignment="1">
      <x:alignment horizontal="center"/>
    </x:xf>
    <x:xf numFmtId="0" fontId="4" fillId="5" borderId="12" xfId="0" applyNumberFormat="1" applyFont="1" applyFill="1" applyBorder="1" applyAlignment="1">
      <x:alignment horizontal="center"/>
    </x:xf>
    <x:xf numFmtId="0" fontId="4" fillId="5" borderId="13" xfId="0" applyNumberFormat="1" applyFont="1" applyFill="1" applyBorder="1" applyAlignment="1">
      <x:alignment horizontal="center"/>
    </x:xf>
    <x:xf numFmtId="0" fontId="4" fillId="5" borderId="14" xfId="0" applyNumberFormat="1" applyFont="1" applyFill="1" applyBorder="1" applyAlignment="1">
      <x:alignment horizontal="center"/>
    </x:xf>
    <x:xf numFmtId="0" fontId="4" fillId="5" borderId="15" xfId="0" applyNumberFormat="1" applyFont="1" applyFill="1" applyBorder="1" applyAlignment="1">
      <x:alignment horizontal="center"/>
    </x:xf>
    <x:xf numFmtId="0" fontId="4" fillId="5" borderId="16" xfId="0" applyNumberFormat="1" applyFont="1" applyFill="1" applyBorder="1" applyAlignment="1">
      <x:alignment horizontal="center"/>
    </x:xf>
    <x:xf numFmtId="0" fontId="4" fillId="5" borderId="9" xfId="0" applyNumberFormat="1" applyFont="1" applyFill="1" applyBorder="1" applyAlignment="1">
      <x:alignment horizontal="center" vertical="center"/>
    </x:xf>
    <x:xf numFmtId="0" fontId="4" fillId="5" borderId="10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center" vertical="center"/>
    </x:xf>
    <x:xf numFmtId="0" fontId="4" fillId="5" borderId="12" xfId="0" applyNumberFormat="1" applyFont="1" applyFill="1" applyBorder="1" applyAlignment="1">
      <x:alignment horizontal="center" vertical="center"/>
    </x:xf>
    <x:xf numFmtId="0" fontId="4" fillId="5" borderId="13" xfId="0" applyNumberFormat="1" applyFont="1" applyFill="1" applyBorder="1" applyAlignment="1">
      <x:alignment horizontal="center" vertical="center"/>
    </x:xf>
    <x:xf numFmtId="0" fontId="4" fillId="5" borderId="14" xfId="0" applyNumberFormat="1" applyFont="1" applyFill="1" applyBorder="1" applyAlignment="1">
      <x:alignment horizontal="center" vertical="center"/>
    </x:xf>
    <x:xf numFmtId="0" fontId="4" fillId="5" borderId="15" xfId="0" applyNumberFormat="1" applyFont="1" applyFill="1" applyBorder="1" applyAlignment="1">
      <x:alignment horizontal="center" vertical="center"/>
    </x:xf>
    <x:xf numFmtId="0" fontId="4" fillId="5" borderId="16" xfId="0" applyNumberFormat="1" applyFont="1" applyFill="1" applyBorder="1" applyAlignment="1">
      <x:alignment horizontal="center" vertical="center"/>
    </x:xf>
    <x:xf numFmtId="200" fontId="4" fillId="5" borderId="9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4" fillId="5" borderId="17" xfId="0" applyNumberFormat="1" applyFont="1" applyFill="1" applyBorder="1"/>
    <x:xf numFmtId="0" fontId="4" fillId="5" borderId="18" xfId="0" applyNumberFormat="1" applyFont="1" applyFill="1" applyBorder="1"/>
    <x:xf numFmtId="0" fontId="4" fillId="5" borderId="19" xfId="0" applyNumberFormat="1" applyFont="1" applyFill="1" applyBorder="1"/>
    <x:xf numFmtId="0" fontId="4" fillId="5" borderId="20" xfId="0" applyNumberFormat="1" applyFont="1" applyFill="1" applyBorder="1"/>
    <x:xf numFmtId="0" fontId="4" fillId="5" borderId="21" xfId="0" applyNumberFormat="1" applyFont="1" applyFill="1" applyBorder="1"/>
    <x:xf numFmtId="0" fontId="4" fillId="5" borderId="22" xfId="0" applyNumberFormat="1" applyFont="1" applyFill="1" applyBorder="1"/>
    <x:xf numFmtId="0" fontId="4" fillId="5" borderId="23" xfId="0" applyNumberFormat="1" applyFont="1" applyFill="1" applyBorder="1"/>
    <x:xf numFmtId="0" fontId="4" fillId="5" borderId="24" xfId="0" applyNumberFormat="1" applyFont="1" applyFill="1" applyBorder="1"/>
    <x:xf numFmtId="0" fontId="4" fillId="5" borderId="17" xfId="0" applyNumberFormat="1" applyFont="1" applyFill="1" applyBorder="1" applyAlignment="1">
      <x:alignment horizontal="center"/>
    </x:xf>
    <x:xf numFmtId="0" fontId="4" fillId="5" borderId="18" xfId="0" applyNumberFormat="1" applyFont="1" applyFill="1" applyBorder="1" applyAlignment="1">
      <x:alignment horizontal="center"/>
    </x:xf>
    <x:xf numFmtId="0" fontId="4" fillId="5" borderId="19" xfId="0" applyNumberFormat="1" applyFont="1" applyFill="1" applyBorder="1" applyAlignment="1">
      <x:alignment horizontal="center"/>
    </x:xf>
    <x:xf numFmtId="0" fontId="4" fillId="5" borderId="20" xfId="0" applyNumberFormat="1" applyFont="1" applyFill="1" applyBorder="1" applyAlignment="1">
      <x:alignment horizontal="center"/>
    </x:xf>
    <x:xf numFmtId="0" fontId="4" fillId="5" borderId="21" xfId="0" applyNumberFormat="1" applyFont="1" applyFill="1" applyBorder="1" applyAlignment="1">
      <x:alignment horizontal="center"/>
    </x:xf>
    <x:xf numFmtId="0" fontId="4" fillId="5" borderId="22" xfId="0" applyNumberFormat="1" applyFont="1" applyFill="1" applyBorder="1" applyAlignment="1">
      <x:alignment horizontal="center"/>
    </x:xf>
    <x:xf numFmtId="0" fontId="4" fillId="5" borderId="23" xfId="0" applyNumberFormat="1" applyFont="1" applyFill="1" applyBorder="1" applyAlignment="1">
      <x:alignment horizontal="center"/>
    </x:xf>
    <x:xf numFmtId="0" fontId="4" fillId="5" borderId="24" xfId="0" applyNumberFormat="1" applyFont="1" applyFill="1" applyBorder="1" applyAlignment="1">
      <x:alignment horizontal="center"/>
    </x:xf>
    <x:xf numFmtId="0" fontId="4" fillId="5" borderId="17" xfId="0" applyNumberFormat="1" applyFont="1" applyFill="1" applyBorder="1" applyAlignment="1">
      <x:alignment horizontal="center" vertical="center"/>
    </x:xf>
    <x:xf numFmtId="0" fontId="4" fillId="5" borderId="18" xfId="0" applyNumberFormat="1" applyFont="1" applyFill="1" applyBorder="1" applyAlignment="1">
      <x:alignment horizontal="center" vertical="center"/>
    </x:xf>
    <x:xf numFmtId="0" fontId="4" fillId="5" borderId="19" xfId="0" applyNumberFormat="1" applyFont="1" applyFill="1" applyBorder="1" applyAlignment="1">
      <x:alignment horizontal="center" vertical="center"/>
    </x:xf>
    <x:xf numFmtId="0" fontId="4" fillId="5" borderId="20" xfId="0" applyNumberFormat="1" applyFont="1" applyFill="1" applyBorder="1" applyAlignment="1">
      <x:alignment horizontal="center" vertical="center"/>
    </x:xf>
    <x:xf numFmtId="0" fontId="4" fillId="5" borderId="21" xfId="0" applyNumberFormat="1" applyFont="1" applyFill="1" applyBorder="1" applyAlignment="1">
      <x:alignment horizontal="center" vertical="center"/>
    </x:xf>
    <x:xf numFmtId="0" fontId="4" fillId="5" borderId="22" xfId="0" applyNumberFormat="1" applyFont="1" applyFill="1" applyBorder="1" applyAlignment="1">
      <x:alignment horizontal="center" vertical="center"/>
    </x:xf>
    <x:xf numFmtId="0" fontId="4" fillId="5" borderId="23" xfId="0" applyNumberFormat="1" applyFont="1" applyFill="1" applyBorder="1" applyAlignment="1">
      <x:alignment horizontal="center" vertical="center"/>
    </x:xf>
    <x:xf numFmtId="0" fontId="4" fillId="5" borderId="24" xfId="0" applyNumberFormat="1" applyFont="1" applyFill="1" applyBorder="1" applyAlignment="1">
      <x:alignment horizontal="center" vertical="center"/>
    </x:xf>
    <x:xf numFmtId="200" fontId="4" fillId="5" borderId="17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4" fillId="5" borderId="25" xfId="0" applyNumberFormat="1" applyFont="1" applyFill="1" applyBorder="1"/>
    <x:xf numFmtId="0" fontId="4" fillId="5" borderId="26" xfId="0" applyNumberFormat="1" applyFont="1" applyFill="1" applyBorder="1"/>
    <x:xf numFmtId="0" fontId="4" fillId="5" borderId="27" xfId="0" applyNumberFormat="1" applyFont="1" applyFill="1" applyBorder="1"/>
    <x:xf numFmtId="0" fontId="4" fillId="5" borderId="28" xfId="0" applyNumberFormat="1" applyFont="1" applyFill="1" applyBorder="1"/>
    <x:xf numFmtId="0" fontId="4" fillId="5" borderId="29" xfId="0" applyNumberFormat="1" applyFont="1" applyFill="1" applyBorder="1"/>
    <x:xf numFmtId="0" fontId="4" fillId="5" borderId="30" xfId="0" applyNumberFormat="1" applyFont="1" applyFill="1" applyBorder="1"/>
    <x:xf numFmtId="0" fontId="4" fillId="5" borderId="25" xfId="0" applyNumberFormat="1" applyFont="1" applyFill="1" applyBorder="1" applyAlignment="1">
      <x:alignment horizontal="center"/>
    </x:xf>
    <x:xf numFmtId="0" fontId="4" fillId="5" borderId="26" xfId="0" applyNumberFormat="1" applyFont="1" applyFill="1" applyBorder="1" applyAlignment="1">
      <x:alignment horizontal="center"/>
    </x:xf>
    <x:xf numFmtId="0" fontId="4" fillId="5" borderId="27" xfId="0" applyNumberFormat="1" applyFont="1" applyFill="1" applyBorder="1" applyAlignment="1">
      <x:alignment horizontal="center"/>
    </x:xf>
    <x:xf numFmtId="0" fontId="4" fillId="5" borderId="28" xfId="0" applyNumberFormat="1" applyFont="1" applyFill="1" applyBorder="1" applyAlignment="1">
      <x:alignment horizontal="center"/>
    </x:xf>
    <x:xf numFmtId="0" fontId="4" fillId="5" borderId="29" xfId="0" applyNumberFormat="1" applyFont="1" applyFill="1" applyBorder="1" applyAlignment="1">
      <x:alignment horizontal="center"/>
    </x:xf>
    <x:xf numFmtId="0" fontId="4" fillId="5" borderId="30" xfId="0" applyNumberFormat="1" applyFont="1" applyFill="1" applyBorder="1" applyAlignment="1">
      <x:alignment horizontal="center"/>
    </x:xf>
    <x:xf numFmtId="0" fontId="4" fillId="5" borderId="25" xfId="0" applyNumberFormat="1" applyFont="1" applyFill="1" applyBorder="1" applyAlignment="1">
      <x:alignment horizontal="center" vertical="center"/>
    </x:xf>
    <x:xf numFmtId="0" fontId="4" fillId="5" borderId="26" xfId="0" applyNumberFormat="1" applyFont="1" applyFill="1" applyBorder="1" applyAlignment="1">
      <x:alignment horizontal="center" vertical="center"/>
    </x:xf>
    <x:xf numFmtId="0" fontId="4" fillId="5" borderId="27" xfId="0" applyNumberFormat="1" applyFont="1" applyFill="1" applyBorder="1" applyAlignment="1">
      <x:alignment horizontal="center" vertical="center"/>
    </x:xf>
    <x:xf numFmtId="0" fontId="4" fillId="5" borderId="28" xfId="0" applyNumberFormat="1" applyFont="1" applyFill="1" applyBorder="1" applyAlignment="1">
      <x:alignment horizontal="center" vertical="center"/>
    </x:xf>
    <x:xf numFmtId="0" fontId="4" fillId="5" borderId="29" xfId="0" applyNumberFormat="1" applyFont="1" applyFill="1" applyBorder="1" applyAlignment="1">
      <x:alignment horizontal="center" vertical="center"/>
    </x:xf>
    <x:xf numFmtId="0" fontId="4" fillId="5" borderId="3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/>
    <x:xf numFmtId="0" fontId="7" fillId="4" borderId="31" xfId="0" applyNumberFormat="1" applyFont="1" applyFill="1" applyBorder="1"/>
    <x:xf numFmtId="0" fontId="7" fillId="4" borderId="32" xfId="0" applyNumberFormat="1" applyFont="1" applyFill="1" applyBorder="1"/>
    <x:xf numFmtId="0" fontId="7" fillId="4" borderId="33" xfId="0" applyNumberFormat="1" applyFont="1" applyFill="1" applyBorder="1"/>
    <x:xf numFmtId="0" fontId="7" fillId="4" borderId="31" xfId="0" applyNumberFormat="1" applyFont="1" applyFill="1" applyBorder="1" applyAlignment="1">
      <x:alignment wrapText="1"/>
    </x:xf>
    <x:xf numFmtId="0" fontId="7" fillId="4" borderId="32" xfId="0" applyNumberFormat="1" applyFont="1" applyFill="1" applyBorder="1" applyAlignment="1">
      <x:alignment wrapText="1"/>
    </x:xf>
    <x:xf numFmtId="0" fontId="7" fillId="4" borderId="33" xfId="0" applyNumberFormat="1" applyFont="1" applyFill="1" applyBorder="1" applyAlignment="1">
      <x:alignment wrapText="1"/>
    </x:xf>
    <x:xf numFmtId="0" fontId="7" fillId="4" borderId="31" xfId="0" applyNumberFormat="1" applyFont="1" applyFill="1" applyBorder="1" applyAlignment="1">
      <x:alignment vertical="center" wrapText="1"/>
    </x:xf>
    <x:xf numFmtId="0" fontId="7" fillId="4" borderId="32" xfId="0" applyNumberFormat="1" applyFont="1" applyFill="1" applyBorder="1" applyAlignment="1">
      <x:alignment vertical="center" wrapText="1"/>
    </x:xf>
    <x:xf numFmtId="0" fontId="7" fillId="4" borderId="33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34" xfId="0" applyNumberFormat="1" applyFont="1" applyFill="1" applyBorder="1"/>
    <x:xf numFmtId="0" fontId="8" fillId="0" borderId="35" xfId="0" applyNumberFormat="1" applyFont="1" applyFill="1" applyBorder="1"/>
    <x:xf numFmtId="0" fontId="8" fillId="0" borderId="36" xfId="0" applyNumberFormat="1" applyFont="1" applyFill="1" applyBorder="1"/>
    <x:xf numFmtId="0" fontId="8" fillId="0" borderId="34" xfId="0" applyNumberFormat="1" applyFont="1" applyFill="1" applyBorder="1" applyAlignment="1">
      <x:alignment vertical="top"/>
    </x:xf>
    <x:xf numFmtId="0" fontId="8" fillId="0" borderId="35" xfId="0" applyNumberFormat="1" applyFont="1" applyFill="1" applyBorder="1" applyAlignment="1">
      <x:alignment vertical="top"/>
    </x:xf>
    <x:xf numFmtId="0" fontId="8" fillId="0" borderId="36" xfId="0" applyNumberFormat="1" applyFont="1" applyFill="1" applyBorder="1" applyAlignment="1">
      <x:alignment vertical="top"/>
    </x:xf>
    <x:xf numFmtId="201" fontId="8" fillId="0" borderId="34" xfId="0" applyNumberFormat="1" applyFont="1" applyFill="1" applyBorder="1" applyAlignment="1">
      <x:alignment vertical="top"/>
    </x:xf>
    <x:xf numFmtId="201" fontId="8" fillId="0" borderId="35" xfId="0" applyNumberFormat="1" applyFont="1" applyFill="1" applyBorder="1" applyAlignment="1">
      <x:alignment vertical="top"/>
    </x:xf>
    <x:xf numFmtId="201" fontId="8" fillId="0" borderId="36" xfId="0" applyNumberFormat="1" applyFont="1" applyFill="1" applyBorder="1" applyAlignment="1">
      <x:alignment vertical="top"/>
    </x:xf>
    <x:xf numFmtId="0" fontId="8" fillId="0" borderId="34" xfId="0" applyNumberFormat="1" applyFont="1" applyFill="1" applyBorder="1" applyAlignment="1">
      <x:alignment vertical="top" wrapText="1"/>
    </x:xf>
    <x:xf numFmtId="201" fontId="8" fillId="0" borderId="34" xfId="0" applyNumberFormat="1" applyFont="1" applyFill="1" applyBorder="1" applyAlignment="1">
      <x:alignment vertical="top" wrapText="1"/>
    </x:xf>
    <x:xf numFmtId="0" fontId="8" fillId="0" borderId="35" xfId="0" applyNumberFormat="1" applyFont="1" applyFill="1" applyBorder="1" applyAlignment="1">
      <x:alignment vertical="top" wrapText="1"/>
    </x:xf>
    <x:xf numFmtId="201" fontId="8" fillId="0" borderId="35" xfId="0" applyNumberFormat="1" applyFont="1" applyFill="1" applyBorder="1" applyAlignment="1">
      <x:alignment vertical="top" wrapText="1"/>
    </x:xf>
    <x:xf numFmtId="0" fontId="8" fillId="0" borderId="36" xfId="0" applyNumberFormat="1" applyFont="1" applyFill="1" applyBorder="1" applyAlignment="1">
      <x:alignment vertical="top" wrapText="1"/>
    </x:xf>
    <x:xf numFmtId="201" fontId="8" fillId="0" borderId="36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/>
    <x:xf numFmtId="0" fontId="7" fillId="6" borderId="31" xfId="0" applyNumberFormat="1" applyFont="1" applyFill="1" applyBorder="1"/>
    <x:xf numFmtId="0" fontId="7" fillId="6" borderId="32" xfId="0" applyNumberFormat="1" applyFont="1" applyFill="1" applyBorder="1"/>
    <x:xf numFmtId="0" fontId="7" fillId="6" borderId="33" xfId="0" applyNumberFormat="1" applyFont="1" applyFill="1" applyBorder="1"/>
    <x:xf numFmtId="0" fontId="7" fillId="6" borderId="31" xfId="0" applyNumberFormat="1" applyFont="1" applyFill="1" applyBorder="1" applyAlignment="1">
      <x:alignment wrapText="1"/>
    </x:xf>
    <x:xf numFmtId="0" fontId="7" fillId="6" borderId="32" xfId="0" applyNumberFormat="1" applyFont="1" applyFill="1" applyBorder="1" applyAlignment="1">
      <x:alignment wrapText="1"/>
    </x:xf>
    <x:xf numFmtId="0" fontId="7" fillId="6" borderId="33" xfId="0" applyNumberFormat="1" applyFont="1" applyFill="1" applyBorder="1" applyAlignment="1">
      <x:alignment wrapText="1"/>
    </x:xf>
    <x:xf numFmtId="0" fontId="7" fillId="6" borderId="31" xfId="0" applyNumberFormat="1" applyFont="1" applyFill="1" applyBorder="1" applyAlignment="1">
      <x:alignment vertical="center" wrapText="1"/>
    </x:xf>
    <x:xf numFmtId="0" fontId="7" fillId="6" borderId="32" xfId="0" applyNumberFormat="1" applyFont="1" applyFill="1" applyBorder="1" applyAlignment="1">
      <x:alignment vertical="center" wrapText="1"/>
    </x:xf>
    <x:xf numFmtId="0" fontId="7" fillId="6" borderId="33" xfId="0" applyNumberFormat="1" applyFont="1" applyFill="1" applyBorder="1" applyAlignment="1">
      <x:alignment vertical="center" wrapText="1"/>
    </x:xf>
    <x:xf numFmtId="202" fontId="8" fillId="0" borderId="34" xfId="0" applyNumberFormat="1" applyFont="1" applyFill="1" applyBorder="1" applyAlignment="1">
      <x:alignment vertical="top"/>
    </x:xf>
    <x:xf numFmtId="202" fontId="8" fillId="0" borderId="35" xfId="0" applyNumberFormat="1" applyFont="1" applyFill="1" applyBorder="1" applyAlignment="1">
      <x:alignment vertical="top"/>
    </x:xf>
    <x:xf numFmtId="202" fontId="8" fillId="0" borderId="36" xfId="0" applyNumberFormat="1" applyFont="1" applyFill="1" applyBorder="1" applyAlignment="1">
      <x:alignment vertical="top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37" xfId="0" applyNumberFormat="1" applyFont="1" applyFill="1" applyBorder="1"/>
    <x:xf numFmtId="0" fontId="10" fillId="10" borderId="38" xfId="0" applyNumberFormat="1" applyFont="1" applyFill="1" applyBorder="1"/>
    <x:xf numFmtId="0" fontId="10" fillId="10" borderId="39" xfId="0" applyNumberFormat="1" applyFont="1" applyFill="1" applyBorder="1"/>
    <x:xf numFmtId="0" fontId="10" fillId="10" borderId="40" xfId="0" applyNumberFormat="1" applyFont="1" applyFill="1" applyBorder="1"/>
    <x:xf numFmtId="0" fontId="10" fillId="10" borderId="41" xfId="0" applyNumberFormat="1" applyFont="1" applyFill="1" applyBorder="1"/>
    <x:xf numFmtId="0" fontId="10" fillId="10" borderId="42" xfId="0" applyNumberFormat="1" applyFont="1" applyFill="1" applyBorder="1"/>
    <x:xf numFmtId="0" fontId="10" fillId="10" borderId="43" xfId="0" applyNumberFormat="1" applyFont="1" applyFill="1" applyBorder="1"/>
    <x:xf numFmtId="0" fontId="10" fillId="10" borderId="44" xfId="0" applyNumberFormat="1" applyFont="1" applyFill="1" applyBorder="1"/>
    <x:xf numFmtId="0" fontId="10" fillId="10" borderId="37" xfId="0" applyNumberFormat="1" applyFont="1" applyFill="1" applyBorder="1" applyAlignment="1">
      <x:alignment wrapText="1"/>
    </x:xf>
    <x:xf numFmtId="0" fontId="10" fillId="10" borderId="38" xfId="0" applyNumberFormat="1" applyFont="1" applyFill="1" applyBorder="1" applyAlignment="1">
      <x:alignment wrapText="1"/>
    </x:xf>
    <x:xf numFmtId="0" fontId="10" fillId="10" borderId="39" xfId="0" applyNumberFormat="1" applyFont="1" applyFill="1" applyBorder="1" applyAlignment="1">
      <x:alignment wrapText="1"/>
    </x:xf>
    <x:xf numFmtId="0" fontId="10" fillId="10" borderId="40" xfId="0" applyNumberFormat="1" applyFont="1" applyFill="1" applyBorder="1" applyAlignment="1">
      <x:alignment wrapText="1"/>
    </x:xf>
    <x:xf numFmtId="0" fontId="10" fillId="10" borderId="0" xfId="0" applyNumberFormat="1" applyFont="1" applyFill="1" applyBorder="1" applyAlignment="1">
      <x:alignment wrapText="1"/>
    </x:xf>
    <x:xf numFmtId="0" fontId="10" fillId="10" borderId="41" xfId="0" applyNumberFormat="1" applyFont="1" applyFill="1" applyBorder="1" applyAlignment="1">
      <x:alignment wrapText="1"/>
    </x:xf>
    <x:xf numFmtId="0" fontId="10" fillId="10" borderId="42" xfId="0" applyNumberFormat="1" applyFont="1" applyFill="1" applyBorder="1" applyAlignment="1">
      <x:alignment wrapText="1"/>
    </x:xf>
    <x:xf numFmtId="0" fontId="10" fillId="10" borderId="43" xfId="0" applyNumberFormat="1" applyFont="1" applyFill="1" applyBorder="1" applyAlignment="1">
      <x:alignment wrapText="1"/>
    </x:xf>
    <x:xf numFmtId="0" fontId="10" fillId="10" borderId="44" xfId="0" applyNumberFormat="1" applyFont="1" applyFill="1" applyBorder="1" applyAlignment="1">
      <x:alignment wrapText="1"/>
    </x:xf>
    <x:xf numFmtId="0" fontId="10" fillId="10" borderId="37" xfId="0" applyNumberFormat="1" applyFont="1" applyFill="1" applyBorder="1" applyAlignment="1">
      <x:alignment vertical="top" wrapText="1"/>
    </x:xf>
    <x:xf numFmtId="0" fontId="10" fillId="10" borderId="38" xfId="0" applyNumberFormat="1" applyFont="1" applyFill="1" applyBorder="1" applyAlignment="1">
      <x:alignment vertical="top" wrapText="1"/>
    </x:xf>
    <x:xf numFmtId="0" fontId="10" fillId="10" borderId="39" xfId="0" applyNumberFormat="1" applyFont="1" applyFill="1" applyBorder="1" applyAlignment="1">
      <x:alignment vertical="top" wrapText="1"/>
    </x:xf>
    <x:xf numFmtId="0" fontId="10" fillId="10" borderId="40" xfId="0" applyNumberFormat="1" applyFont="1" applyFill="1" applyBorder="1" applyAlignment="1">
      <x:alignment vertical="top" wrapText="1"/>
    </x:xf>
    <x:xf numFmtId="0" fontId="10" fillId="10" borderId="0" xfId="0" applyNumberFormat="1" applyFont="1" applyFill="1" applyBorder="1" applyAlignment="1">
      <x:alignment vertical="top" wrapText="1"/>
    </x:xf>
    <x:xf numFmtId="0" fontId="10" fillId="10" borderId="41" xfId="0" applyNumberFormat="1" applyFont="1" applyFill="1" applyBorder="1" applyAlignment="1">
      <x:alignment vertical="top" wrapText="1"/>
    </x:xf>
    <x:xf numFmtId="0" fontId="10" fillId="10" borderId="42" xfId="0" applyNumberFormat="1" applyFont="1" applyFill="1" applyBorder="1" applyAlignment="1">
      <x:alignment vertical="top" wrapText="1"/>
    </x:xf>
    <x:xf numFmtId="0" fontId="10" fillId="10" borderId="43" xfId="0" applyNumberFormat="1" applyFont="1" applyFill="1" applyBorder="1" applyAlignment="1">
      <x:alignment vertical="top" wrapText="1"/>
    </x:xf>
    <x:xf numFmtId="0" fontId="10" fillId="10" borderId="44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45" xfId="0" applyNumberFormat="1" applyFont="1" applyFill="1" applyBorder="1"/>
    <x:xf numFmtId="0" fontId="10" fillId="12" borderId="46" xfId="0" applyNumberFormat="1" applyFont="1" applyFill="1" applyBorder="1"/>
    <x:xf numFmtId="0" fontId="10" fillId="12" borderId="47" xfId="0" applyNumberFormat="1" applyFont="1" applyFill="1" applyBorder="1"/>
    <x:xf numFmtId="0" fontId="10" fillId="12" borderId="48" xfId="0" applyNumberFormat="1" applyFont="1" applyFill="1" applyBorder="1"/>
    <x:xf numFmtId="0" fontId="10" fillId="12" borderId="49" xfId="0" applyNumberFormat="1" applyFont="1" applyFill="1" applyBorder="1"/>
    <x:xf numFmtId="0" fontId="10" fillId="12" borderId="50" xfId="0" applyNumberFormat="1" applyFont="1" applyFill="1" applyBorder="1"/>
    <x:xf numFmtId="0" fontId="10" fillId="12" borderId="51" xfId="0" applyNumberFormat="1" applyFont="1" applyFill="1" applyBorder="1"/>
    <x:xf numFmtId="0" fontId="10" fillId="12" borderId="52" xfId="0" applyNumberFormat="1" applyFont="1" applyFill="1" applyBorder="1"/>
    <x:xf numFmtId="0" fontId="10" fillId="12" borderId="45" xfId="0" applyNumberFormat="1" applyFont="1" applyFill="1" applyBorder="1" applyAlignment="1">
      <x:alignment wrapText="1"/>
    </x:xf>
    <x:xf numFmtId="0" fontId="10" fillId="12" borderId="46" xfId="0" applyNumberFormat="1" applyFont="1" applyFill="1" applyBorder="1" applyAlignment="1">
      <x:alignment wrapText="1"/>
    </x:xf>
    <x:xf numFmtId="0" fontId="10" fillId="12" borderId="47" xfId="0" applyNumberFormat="1" applyFont="1" applyFill="1" applyBorder="1" applyAlignment="1">
      <x:alignment wrapText="1"/>
    </x:xf>
    <x:xf numFmtId="0" fontId="10" fillId="12" borderId="48" xfId="0" applyNumberFormat="1" applyFont="1" applyFill="1" applyBorder="1" applyAlignment="1">
      <x:alignment wrapText="1"/>
    </x:xf>
    <x:xf numFmtId="0" fontId="10" fillId="12" borderId="0" xfId="0" applyNumberFormat="1" applyFont="1" applyFill="1" applyBorder="1" applyAlignment="1">
      <x:alignment wrapText="1"/>
    </x:xf>
    <x:xf numFmtId="0" fontId="10" fillId="12" borderId="49" xfId="0" applyNumberFormat="1" applyFont="1" applyFill="1" applyBorder="1" applyAlignment="1">
      <x:alignment wrapText="1"/>
    </x:xf>
    <x:xf numFmtId="0" fontId="10" fillId="12" borderId="50" xfId="0" applyNumberFormat="1" applyFont="1" applyFill="1" applyBorder="1" applyAlignment="1">
      <x:alignment wrapText="1"/>
    </x:xf>
    <x:xf numFmtId="0" fontId="10" fillId="12" borderId="51" xfId="0" applyNumberFormat="1" applyFont="1" applyFill="1" applyBorder="1" applyAlignment="1">
      <x:alignment wrapText="1"/>
    </x:xf>
    <x:xf numFmtId="0" fontId="10" fillId="12" borderId="52" xfId="0" applyNumberFormat="1" applyFont="1" applyFill="1" applyBorder="1" applyAlignment="1">
      <x:alignment wrapText="1"/>
    </x:xf>
    <x:xf numFmtId="0" fontId="10" fillId="12" borderId="45" xfId="0" applyNumberFormat="1" applyFont="1" applyFill="1" applyBorder="1" applyAlignment="1">
      <x:alignment vertical="top" wrapText="1"/>
    </x:xf>
    <x:xf numFmtId="0" fontId="10" fillId="12" borderId="46" xfId="0" applyNumberFormat="1" applyFont="1" applyFill="1" applyBorder="1" applyAlignment="1">
      <x:alignment vertical="top" wrapText="1"/>
    </x:xf>
    <x:xf numFmtId="0" fontId="10" fillId="12" borderId="47" xfId="0" applyNumberFormat="1" applyFont="1" applyFill="1" applyBorder="1" applyAlignment="1">
      <x:alignment vertical="top" wrapText="1"/>
    </x:xf>
    <x:xf numFmtId="0" fontId="10" fillId="12" borderId="48" xfId="0" applyNumberFormat="1" applyFont="1" applyFill="1" applyBorder="1" applyAlignment="1">
      <x:alignment vertical="top" wrapText="1"/>
    </x:xf>
    <x:xf numFmtId="0" fontId="10" fillId="12" borderId="0" xfId="0" applyNumberFormat="1" applyFont="1" applyFill="1" applyBorder="1" applyAlignment="1">
      <x:alignment vertical="top" wrapText="1"/>
    </x:xf>
    <x:xf numFmtId="0" fontId="10" fillId="12" borderId="49" xfId="0" applyNumberFormat="1" applyFont="1" applyFill="1" applyBorder="1" applyAlignment="1">
      <x:alignment vertical="top" wrapText="1"/>
    </x:xf>
    <x:xf numFmtId="0" fontId="10" fillId="12" borderId="50" xfId="0" applyNumberFormat="1" applyFont="1" applyFill="1" applyBorder="1" applyAlignment="1">
      <x:alignment vertical="top" wrapText="1"/>
    </x:xf>
    <x:xf numFmtId="0" fontId="10" fillId="12" borderId="51" xfId="0" applyNumberFormat="1" applyFont="1" applyFill="1" applyBorder="1" applyAlignment="1">
      <x:alignment vertical="top" wrapText="1"/>
    </x:xf>
    <x:xf numFmtId="0" fontId="10" fillId="12" borderId="52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3" fontId="8" fillId="0" borderId="34" xfId="0" applyNumberFormat="1" applyFont="1" applyFill="1" applyBorder="1" applyAlignment="1">
      <x:alignment vertical="top"/>
    </x:xf>
    <x:xf numFmtId="203" fontId="8" fillId="0" borderId="35" xfId="0" applyNumberFormat="1" applyFont="1" applyFill="1" applyBorder="1" applyAlignment="1">
      <x:alignment vertical="top"/>
    </x:xf>
    <x:xf numFmtId="203" fontId="8" fillId="0" borderId="36" xfId="0" applyNumberFormat="1" applyFont="1" applyFill="1" applyBorder="1" applyAlignment="1">
      <x:alignment vertical="top"/>
    </x:xf>
    <x:xf numFmtId="204" fontId="8" fillId="0" borderId="34" xfId="0" applyNumberFormat="1" applyFont="1" applyFill="1" applyBorder="1" applyAlignment="1">
      <x:alignment vertical="top"/>
    </x:xf>
    <x:xf numFmtId="204" fontId="8" fillId="0" borderId="35" xfId="0" applyNumberFormat="1" applyFont="1" applyFill="1" applyBorder="1" applyAlignment="1">
      <x:alignment vertical="top"/>
    </x:xf>
    <x:xf numFmtId="204" fontId="8" fillId="0" borderId="36" xfId="0" applyNumberFormat="1" applyFont="1" applyFill="1" applyBorder="1" applyAlignment="1">
      <x:alignment vertical="top"/>
    </x:xf>
    <x:xf numFmtId="205" fontId="8" fillId="0" borderId="34" xfId="0" applyNumberFormat="1" applyFont="1" applyFill="1" applyBorder="1" applyAlignment="1">
      <x:alignment vertical="top"/>
    </x:xf>
    <x:xf numFmtId="205" fontId="8" fillId="0" borderId="35" xfId="0" applyNumberFormat="1" applyFont="1" applyFill="1" applyBorder="1" applyAlignment="1">
      <x:alignment vertical="top"/>
    </x:xf>
    <x:xf numFmtId="205" fontId="8" fillId="0" borderId="36" xfId="0" applyNumberFormat="1" applyFont="1" applyFill="1" applyBorder="1" applyAlignment="1">
      <x:alignment vertical="top"/>
    </x:xf>
    <x:xf numFmtId="0" fontId="8" fillId="12" borderId="36" xfId="0" applyNumberFormat="1" applyFont="1" applyFill="1" applyBorder="1" applyAlignment="1">
      <x:alignment vertical="top"/>
    </x:xf>
    <x:xf numFmtId="201" fontId="8" fillId="12" borderId="36" xfId="0" applyNumberFormat="1" applyFont="1" applyFill="1" applyBorder="1" applyAlignment="1">
      <x:alignment vertical="top"/>
    </x:xf>
    <x:xf numFmtId="203" fontId="8" fillId="12" borderId="36" xfId="0" applyNumberFormat="1" applyFont="1" applyFill="1" applyBorder="1" applyAlignment="1">
      <x:alignment vertical="top"/>
    </x:xf>
    <x:xf numFmtId="204" fontId="8" fillId="12" borderId="36" xfId="0" applyNumberFormat="1" applyFont="1" applyFill="1" applyBorder="1" applyAlignment="1">
      <x:alignment vertical="top"/>
    </x:xf>
    <x:xf numFmtId="205" fontId="8" fillId="12" borderId="36" xfId="0" applyNumberFormat="1" applyFont="1" applyFill="1" applyBorder="1" applyAlignment="1">
      <x:alignment vertical="top"/>
    </x:xf>
    <x:xf numFmtId="0" fontId="11" fillId="12" borderId="36" xfId="0" applyNumberFormat="1" applyFont="1" applyFill="1" applyBorder="1" applyAlignment="1">
      <x:alignment vertical="top"/>
    </x:xf>
    <x:xf numFmtId="201" fontId="11" fillId="12" borderId="36" xfId="0" applyNumberFormat="1" applyFont="1" applyFill="1" applyBorder="1" applyAlignment="1">
      <x:alignment vertical="top"/>
    </x:xf>
    <x:xf numFmtId="203" fontId="11" fillId="12" borderId="36" xfId="0" applyNumberFormat="1" applyFont="1" applyFill="1" applyBorder="1" applyAlignment="1">
      <x:alignment vertical="top"/>
    </x:xf>
    <x:xf numFmtId="204" fontId="11" fillId="12" borderId="36" xfId="0" applyNumberFormat="1" applyFont="1" applyFill="1" applyBorder="1" applyAlignment="1">
      <x:alignment vertical="top"/>
    </x:xf>
    <x:xf numFmtId="205" fontId="11" fillId="12" borderId="36" xfId="0" applyNumberFormat="1" applyFont="1" applyFill="1" applyBorder="1" applyAlignment="1">
      <x:alignment vertical="top"/>
    </x:xf>
    <x:xf numFmtId="0" fontId="11" fillId="12" borderId="53" xfId="0" applyNumberFormat="1" applyFont="1" applyFill="1" applyBorder="1" applyAlignment="1">
      <x:alignment vertical="top"/>
    </x:xf>
    <x:xf numFmtId="0" fontId="11" fillId="12" borderId="54" xfId="0" applyNumberFormat="1" applyFont="1" applyFill="1" applyBorder="1" applyAlignment="1">
      <x:alignment vertical="top"/>
    </x:xf>
    <x:xf numFmtId="201" fontId="11" fillId="12" borderId="54" xfId="0" applyNumberFormat="1" applyFont="1" applyFill="1" applyBorder="1" applyAlignment="1">
      <x:alignment vertical="top"/>
    </x:xf>
    <x:xf numFmtId="203" fontId="11" fillId="12" borderId="54" xfId="0" applyNumberFormat="1" applyFont="1" applyFill="1" applyBorder="1" applyAlignment="1">
      <x:alignment vertical="top"/>
    </x:xf>
    <x:xf numFmtId="204" fontId="11" fillId="12" borderId="54" xfId="0" applyNumberFormat="1" applyFont="1" applyFill="1" applyBorder="1" applyAlignment="1">
      <x:alignment vertical="top"/>
    </x:xf>
    <x:xf numFmtId="205" fontId="11" fillId="12" borderId="55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3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3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7" fillId="4" borderId="32" xfId="0" applyNumberFormat="1" applyFont="1" applyFill="1" applyBorder="1" applyAlignment="1">
      <x:alignment vertical="center" wrapText="1"/>
    </x:xf>
    <x:xf numFmtId="202" fontId="8" fillId="0" borderId="3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/>
    <x:xf numFmtId="0" fontId="7" fillId="7" borderId="31" xfId="0" applyNumberFormat="1" applyFont="1" applyFill="1" applyBorder="1"/>
    <x:xf numFmtId="0" fontId="7" fillId="7" borderId="32" xfId="0" applyNumberFormat="1" applyFont="1" applyFill="1" applyBorder="1"/>
    <x:xf numFmtId="0" fontId="7" fillId="7" borderId="33" xfId="0" applyNumberFormat="1" applyFont="1" applyFill="1" applyBorder="1"/>
    <x:xf numFmtId="0" fontId="7" fillId="7" borderId="31" xfId="0" applyNumberFormat="1" applyFont="1" applyFill="1" applyBorder="1" applyAlignment="1">
      <x:alignment wrapText="1"/>
    </x:xf>
    <x:xf numFmtId="0" fontId="7" fillId="7" borderId="32" xfId="0" applyNumberFormat="1" applyFont="1" applyFill="1" applyBorder="1" applyAlignment="1">
      <x:alignment wrapText="1"/>
    </x:xf>
    <x:xf numFmtId="0" fontId="7" fillId="7" borderId="33" xfId="0" applyNumberFormat="1" applyFont="1" applyFill="1" applyBorder="1" applyAlignment="1">
      <x:alignment wrapText="1"/>
    </x:xf>
    <x:xf numFmtId="0" fontId="7" fillId="7" borderId="31" xfId="0" applyNumberFormat="1" applyFont="1" applyFill="1" applyBorder="1" applyAlignment="1">
      <x:alignment vertical="center" wrapText="1"/>
    </x:xf>
    <x:xf numFmtId="0" fontId="7" fillId="7" borderId="32" xfId="0" applyNumberFormat="1" applyFont="1" applyFill="1" applyBorder="1" applyAlignment="1">
      <x:alignment vertical="center" wrapText="1"/>
    </x:xf>
    <x:xf numFmtId="0" fontId="7" fillId="7" borderId="33" xfId="0" applyNumberFormat="1" applyFont="1" applyFill="1" applyBorder="1" applyAlignment="1">
      <x:alignment vertical="center" wrapText="1"/>
    </x:xf>
    <x:xf numFmtId="0" fontId="7" fillId="11" borderId="0" xfId="0" applyNumberFormat="1" applyFont="1" applyFill="1" applyBorder="1"/>
    <x:xf numFmtId="0" fontId="7" fillId="11" borderId="31" xfId="0" applyNumberFormat="1" applyFont="1" applyFill="1" applyBorder="1"/>
    <x:xf numFmtId="0" fontId="7" fillId="11" borderId="32" xfId="0" applyNumberFormat="1" applyFont="1" applyFill="1" applyBorder="1"/>
    <x:xf numFmtId="0" fontId="7" fillId="11" borderId="33" xfId="0" applyNumberFormat="1" applyFont="1" applyFill="1" applyBorder="1"/>
    <x:xf numFmtId="0" fontId="7" fillId="11" borderId="31" xfId="0" applyNumberFormat="1" applyFont="1" applyFill="1" applyBorder="1" applyAlignment="1">
      <x:alignment wrapText="1"/>
    </x:xf>
    <x:xf numFmtId="0" fontId="7" fillId="11" borderId="32" xfId="0" applyNumberFormat="1" applyFont="1" applyFill="1" applyBorder="1" applyAlignment="1">
      <x:alignment wrapText="1"/>
    </x:xf>
    <x:xf numFmtId="0" fontId="7" fillId="11" borderId="33" xfId="0" applyNumberFormat="1" applyFont="1" applyFill="1" applyBorder="1" applyAlignment="1">
      <x:alignment wrapText="1"/>
    </x:xf>
    <x:xf numFmtId="0" fontId="7" fillId="11" borderId="31" xfId="0" applyNumberFormat="1" applyFont="1" applyFill="1" applyBorder="1" applyAlignment="1">
      <x:alignment vertical="center" wrapText="1"/>
    </x:xf>
    <x:xf numFmtId="0" fontId="7" fillId="11" borderId="32" xfId="0" applyNumberFormat="1" applyFont="1" applyFill="1" applyBorder="1" applyAlignment="1">
      <x:alignment vertical="center" wrapText="1"/>
    </x:xf>
    <x:xf numFmtId="0" fontId="7" fillId="11" borderId="33" xfId="0" applyNumberFormat="1" applyFont="1" applyFill="1" applyBorder="1" applyAlignment="1">
      <x:alignment vertical="center" wrapText="1"/>
    </x:xf>
    <x:xf numFmtId="0" fontId="7" fillId="9" borderId="0" xfId="0" applyNumberFormat="1" applyFont="1" applyFill="1" applyBorder="1"/>
    <x:xf numFmtId="0" fontId="7" fillId="9" borderId="31" xfId="0" applyNumberFormat="1" applyFont="1" applyFill="1" applyBorder="1"/>
    <x:xf numFmtId="0" fontId="7" fillId="9" borderId="32" xfId="0" applyNumberFormat="1" applyFont="1" applyFill="1" applyBorder="1"/>
    <x:xf numFmtId="0" fontId="7" fillId="9" borderId="33" xfId="0" applyNumberFormat="1" applyFont="1" applyFill="1" applyBorder="1"/>
    <x:xf numFmtId="0" fontId="7" fillId="9" borderId="31" xfId="0" applyNumberFormat="1" applyFont="1" applyFill="1" applyBorder="1" applyAlignment="1">
      <x:alignment wrapText="1"/>
    </x:xf>
    <x:xf numFmtId="0" fontId="7" fillId="9" borderId="32" xfId="0" applyNumberFormat="1" applyFont="1" applyFill="1" applyBorder="1" applyAlignment="1">
      <x:alignment wrapText="1"/>
    </x:xf>
    <x:xf numFmtId="0" fontId="7" fillId="9" borderId="33" xfId="0" applyNumberFormat="1" applyFont="1" applyFill="1" applyBorder="1" applyAlignment="1">
      <x:alignment wrapText="1"/>
    </x:xf>
    <x:xf numFmtId="0" fontId="7" fillId="9" borderId="31" xfId="0" applyNumberFormat="1" applyFont="1" applyFill="1" applyBorder="1" applyAlignment="1">
      <x:alignment vertical="center" wrapText="1"/>
    </x:xf>
    <x:xf numFmtId="0" fontId="7" fillId="9" borderId="32" xfId="0" applyNumberFormat="1" applyFont="1" applyFill="1" applyBorder="1" applyAlignment="1">
      <x:alignment vertical="center" wrapText="1"/>
    </x:xf>
    <x:xf numFmtId="0" fontId="7" fillId="9" borderId="33" xfId="0" applyNumberFormat="1" applyFont="1" applyFill="1" applyBorder="1" applyAlignment="1">
      <x:alignment vertical="center" wrapText="1"/>
    </x:xf>
    <x:xf numFmtId="0" fontId="8" fillId="0" borderId="3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3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34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36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12" fillId="13" borderId="0" xfId="0" applyNumberFormat="1" applyFont="1" applyFill="1" applyBorder="1"/>
    <x:xf numFmtId="0" fontId="12" fillId="13" borderId="56" xfId="0" applyNumberFormat="1" applyFont="1" applyFill="1" applyBorder="1"/>
    <x:xf numFmtId="0" fontId="12" fillId="13" borderId="57" xfId="0" applyNumberFormat="1" applyFont="1" applyFill="1" applyBorder="1"/>
    <x:xf numFmtId="0" fontId="12" fillId="13" borderId="58" xfId="0" applyNumberFormat="1" applyFont="1" applyFill="1" applyBorder="1"/>
    <x:xf numFmtId="0" fontId="12" fillId="13" borderId="56" xfId="0" applyNumberFormat="1" applyFont="1" applyFill="1" applyBorder="1" applyAlignment="1">
      <x:alignment horizontal="center"/>
    </x:xf>
    <x:xf numFmtId="0" fontId="12" fillId="13" borderId="57" xfId="0" applyNumberFormat="1" applyFont="1" applyFill="1" applyBorder="1" applyAlignment="1">
      <x:alignment horizontal="center"/>
    </x:xf>
    <x:xf numFmtId="0" fontId="12" fillId="13" borderId="58" xfId="0" applyNumberFormat="1" applyFont="1" applyFill="1" applyBorder="1" applyAlignment="1">
      <x:alignment horizontal="center"/>
    </x:xf>
    <x:xf numFmtId="206" fontId="8" fillId="0" borderId="34" xfId="0" applyNumberFormat="1" applyFont="1" applyFill="1" applyBorder="1" applyAlignment="1">
      <x:alignment vertical="top"/>
    </x:xf>
    <x:xf numFmtId="206" fontId="8" fillId="0" borderId="35" xfId="0" applyNumberFormat="1" applyFont="1" applyFill="1" applyBorder="1" applyAlignment="1">
      <x:alignment vertical="top"/>
    </x:xf>
    <x:xf numFmtId="206" fontId="8" fillId="0" borderId="36" xfId="0" applyNumberFormat="1" applyFont="1" applyFill="1" applyBorder="1" applyAlignment="1">
      <x:alignment vertical="top"/>
    </x:xf>
    <x:xf numFmtId="207" fontId="0" fillId="0" borderId="0" xfId="0" applyNumberFormat="1" applyFont="1" applyFill="1" applyBorder="1"/>
    <x:xf numFmtId="208" fontId="8" fillId="0" borderId="34" xfId="0" applyNumberFormat="1" applyFont="1" applyFill="1" applyBorder="1" applyAlignment="1">
      <x:alignment vertical="top"/>
    </x:xf>
    <x:xf numFmtId="208" fontId="8" fillId="0" borderId="35" xfId="0" applyNumberFormat="1" applyFont="1" applyFill="1" applyBorder="1" applyAlignment="1">
      <x:alignment vertical="top"/>
    </x:xf>
    <x:xf numFmtId="208" fontId="8" fillId="0" borderId="36" xfId="0" applyNumberFormat="1" applyFont="1" applyFill="1" applyBorder="1" applyAlignment="1">
      <x:alignment vertical="top"/>
    </x:xf>
    <x:xf numFmtId="209" fontId="8" fillId="0" borderId="34" xfId="0" applyNumberFormat="1" applyFont="1" applyFill="1" applyBorder="1" applyAlignment="1">
      <x:alignment vertical="top"/>
    </x:xf>
    <x:xf numFmtId="209" fontId="8" fillId="0" borderId="35" xfId="0" applyNumberFormat="1" applyFont="1" applyFill="1" applyBorder="1" applyAlignment="1">
      <x:alignment vertical="top"/>
    </x:xf>
    <x:xf numFmtId="209" fontId="8" fillId="0" borderId="36" xfId="0" applyNumberFormat="1" applyFont="1" applyFill="1" applyBorder="1" applyAlignment="1">
      <x:alignment vertical="top"/>
    </x:xf>
  </x:cellXfs>
  <x:cellStyles count="1">
    <x:cellStyle name="Normal" xfId="0"/>
  </x:cellStyles>
  <x:dxfs count="4">
    <x:dxf>
      <x:font>
        <x:b/>
        <x:color rgb="FFC94C4C"/>
      </x:font>
      <x:fill>
        <x:patternFill patternType="solid">
          <x:bgColor rgb="FFFDECEC"/>
        </x:patternFill>
      </x:fill>
    </x:dxf>
    <x:dxf>
      <x:font>
        <x:b/>
        <x:color rgb="FFC94C4C"/>
      </x:font>
      <x:fill>
        <x:patternFill patternType="solid">
          <x:bgColor rgb="FFFDECEC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415894592b42c6" /><Relationship Type="http://schemas.openxmlformats.org/officeDocument/2006/relationships/theme" Target="/xl/theme/theme1.xml" Id="R6b45bba38963471a" /><Relationship Type="http://schemas.microsoft.com/office/2022/11/relationships/FeaturePropertyBag" Target="/xl/featurePropertyBag/featurePropertyBag.xml" Id="R25f32d91470f4301" /><Relationship Type="http://schemas.openxmlformats.org/officeDocument/2006/relationships/sharedStrings" Target="/xl/sharedStrings.xml" Id="R218d54fb4f6242d3" /><Relationship Type="http://schemas.openxmlformats.org/officeDocument/2006/relationships/worksheet" Target="/xl/worksheets/sheet1.xml" Id="Rb3eff44135c54057" /><Relationship Type="http://schemas.openxmlformats.org/officeDocument/2006/relationships/worksheet" Target="/xl/worksheets/sheet2.xml" Id="R8da9924eb0aa4d3c" /><Relationship Type="http://schemas.openxmlformats.org/officeDocument/2006/relationships/worksheet" Target="/xl/worksheets/sheet3.xml" Id="Rd6bb9f34a81e4f80" /><Relationship Type="http://schemas.openxmlformats.org/officeDocument/2006/relationships/worksheet" Target="/xl/worksheets/sheet4.xml" Id="R59330d15af194ecb" /><Relationship Type="http://schemas.openxmlformats.org/officeDocument/2006/relationships/worksheet" Target="/xl/worksheets/sheet5.xml" Id="R8293063a031e4987" /><Relationship Type="http://schemas.openxmlformats.org/officeDocument/2006/relationships/worksheet" Target="/xl/worksheets/sheet6.xml" Id="R587ccc23ab4949f3" /><Relationship Type="http://schemas.openxmlformats.org/officeDocument/2006/relationships/worksheet" Target="/xl/worksheets/sheet7.xml" Id="Rd3665921978c4450" /><Relationship Type="http://schemas.openxmlformats.org/officeDocument/2006/relationships/worksheet" Target="/xl/worksheets/sheet8.xml" Id="R8cccee0098ea42e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b2246e43728484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f49aef5700c4a9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992e45b426da4f06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10ece99d76994cd6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d86316ea8e404096" /><Relationship Type="http://schemas.openxmlformats.org/officeDocument/2006/relationships/chart" Target="/xl/drawings/charts/chart6.xml" Id="R5b7ff147e489443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Fabric assumptions dominate apparent λmin gain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λmin gain</c:v>
          </c:tx>
          <c:cat>
            <c:strRef>
              <c:f>'Fabric ablation'!$L$5:$L$8</c:f>
              <c:strCache>
                <c:ptCount val="0"/>
              </c:strCache>
            </c:strRef>
          </c:cat>
          <c:val>
            <c:numRef>
              <c:f>'Fabric ablation'!$M$5:$M$8</c:f>
              <c:numCache>
                <c:formatCode>0"×"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&quot;×&quot;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Reference pressure changes the useful contrast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Best single gain</c:v>
          </c:tx>
          <c:marker>
            <c:symbol val="none"/>
          </c:marker>
          <c:cat>
            <c:strRef>
              <c:f>'Design'!$J$5:$J$7</c:f>
              <c:strCache>
                <c:ptCount val="0"/>
              </c:strCache>
            </c:strRef>
          </c:cat>
          <c:val>
            <c:numRef>
              <c:f>'Design'!$K$5:$K$7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Best pair gain</c:v>
          </c:tx>
          <c:marker>
            <c:symbol val="none"/>
          </c:marker>
          <c:cat>
            <c:strRef>
              <c:f>'Design'!$J$5:$J$7</c:f>
              <c:strCache>
                <c:ptCount val="0"/>
              </c:strCache>
            </c:strRef>
          </c:cat>
          <c:val>
            <c:numRef>
              <c:f>'Design'!$L$5:$L$7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&quot;×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Expanded fabric leaves only ~1.84× SD reduction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Median worst-SD reduction</c:v>
          </c:tx>
          <c:cat>
            <c:strRef>
              <c:f>'Robustness'!$L$5:$L$7</c:f>
              <c:strCache>
                <c:ptCount val="0"/>
              </c:strCache>
            </c:strRef>
          </c:cat>
          <c:val>
            <c:numRef>
              <c:f>'Robustness'!$M$5:$M$7</c:f>
              <c:numCache>
                <c:formatCode>0.0"×"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&quot;×&quot;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A target-aligned error erases the nominal gain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λmin gain</c:v>
          </c:tx>
          <c:marker>
            <c:symbol val="none"/>
          </c:marker>
          <c:cat>
            <c:strRef>
              <c:f>'Discrepancy controls'!$K$14:$K$18</c:f>
              <c:strCache>
                <c:ptCount val="0"/>
              </c:strCache>
            </c:strRef>
          </c:cat>
          <c:val>
            <c:numRef>
              <c:f>'Discrepancy controls'!$L$14:$L$18</c:f>
              <c:numCache>
                <c:formatCode>0.0"×"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&quot;×&quot;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No Vcem contraction is resolved on the grid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Static adjusted ΔΦ</c:v>
          </c:tx>
          <c:marker>
            <c:symbol val="none"/>
          </c:marker>
          <c:cat>
            <c:strRef>
              <c:f>'Profiles'!$A$18:$A$49</c:f>
              <c:strCache>
                <c:ptCount val="0"/>
              </c:strCache>
            </c:strRef>
          </c:cat>
          <c:val>
            <c:numRef>
              <c:f>'Profiles'!$B$18:$B$49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Combined adjusted ΔΦ</c:v>
          </c:tx>
          <c:marker>
            <c:symbol val="none"/>
          </c:marker>
          <c:cat>
            <c:strRef>
              <c:f>'Profiles'!$A$18:$A$49</c:f>
              <c:strCache>
                <c:ptCount val="0"/>
              </c:strCache>
            </c:strRef>
          </c:cat>
          <c:val>
            <c:numRef>
              <c:f>'Profiles'!$C$18:$C$49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Threshold 2.30</c:v>
          </c:tx>
          <c:marker>
            <c:symbol val="none"/>
          </c:marker>
          <c:cat>
            <c:strRef>
              <c:f>'Profiles'!$A$18:$A$49</c:f>
              <c:strCache>
                <c:ptCount val="0"/>
              </c:strCache>
            </c:strRef>
          </c:cat>
          <c:val>
            <c:numRef>
              <c:f>'Profiles'!$D$18:$D$49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Cn contraction remains boundary-censored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Static adjusted ΔΦ</c:v>
          </c:tx>
          <c:marker>
            <c:symbol val="none"/>
          </c:marker>
          <c:cat>
            <c:strRef>
              <c:f>'Profiles'!$F$18:$F$51</c:f>
              <c:strCache>
                <c:ptCount val="0"/>
              </c:strCache>
            </c:strRef>
          </c:cat>
          <c:val>
            <c:numRef>
              <c:f>'Profiles'!$G$18:$G$51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Combined adjusted ΔΦ</c:v>
          </c:tx>
          <c:marker>
            <c:symbol val="none"/>
          </c:marker>
          <c:cat>
            <c:strRef>
              <c:f>'Profiles'!$F$18:$F$51</c:f>
              <c:strCache>
                <c:ptCount val="0"/>
              </c:strCache>
            </c:strRef>
          </c:cat>
          <c:val>
            <c:numRef>
              <c:f>'Profiles'!$H$18:$H$51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Threshold 2.30</c:v>
          </c:tx>
          <c:marker>
            <c:symbol val="none"/>
          </c:marker>
          <c:cat>
            <c:strRef>
              <c:f>'Profiles'!$F$18:$F$51</c:f>
              <c:strCache>
                <c:ptCount val="0"/>
              </c:strCache>
            </c:strRef>
          </c:cat>
          <c:val>
            <c:numRef>
              <c:f>'Profiles'!$I$18:$I$51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9</xdr:row>
      <xdr:rowOff>0</xdr:rowOff>
    </xdr:from>
    <xdr:to>
      <xdr:col>22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2246e43728484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10</xdr:row>
      <xdr:rowOff>0</xdr:rowOff>
    </xdr:from>
    <xdr:to>
      <xdr:col>20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49aef5700c4a9f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11</xdr:col>
      <xdr:colOff>0</xdr:colOff>
      <xdr:row>9</xdr:row>
      <xdr:rowOff>0</xdr:rowOff>
    </xdr:from>
    <xdr:to>
      <xdr:col>20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2e45b426da4f0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10</xdr:col>
      <xdr:colOff>0</xdr:colOff>
      <xdr:row>19</xdr:row>
      <xdr:rowOff>0</xdr:rowOff>
    </xdr:from>
    <xdr:to>
      <xdr:col>20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ece99d76994c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10</xdr:col>
      <xdr:colOff>0</xdr:colOff>
      <xdr:row>16</xdr:row>
      <xdr:rowOff>0</xdr:rowOff>
    </xdr:from>
    <xdr:to>
      <xdr:col>20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6316ea8e404096"/>
        </a:graphicData>
      </a:graphic>
    </xdr:graphicFrame>
    <xdr:clientData/>
  </xdr:twoCellAnchor>
  <xdr:twoCellAnchor>
    <xdr:from>
      <xdr:col>10</xdr:col>
      <xdr:colOff>0</xdr:colOff>
      <xdr:row>35</xdr:row>
      <xdr:rowOff>0</xdr:rowOff>
    </xdr:from>
    <xdr:to>
      <xdr:col>20</xdr:col>
      <xdr:colOff>0</xdr:colOff>
      <xdr:row>52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7ff147e489443a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ummaryAssumptions" displayName="SummaryAssumptions" ref="A12:D19" headerRowCount="1" totalsRowCount="0" totalsRowShown="0">
  <x:tableColumns count="4">
    <x:tableColumn id="1" name="Assumption"/>
    <x:tableColumn id="2" name="Value"/>
    <x:tableColumn id="3" name="Unit"/>
    <x:tableColumn id="4" name="Audit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mmaryUncertainty" displayName="SummaryUncertainty" ref="I12:N16" headerRowCount="1" totalsRowCount="0" totalsRowShown="0">
  <x:tableColumns count="6">
    <x:tableColumn id="1" name="Quantity"/>
    <x:tableColumn id="2" name="Static"/>
    <x:tableColumn id="3" name="Post-design"/>
    <x:tableColumn id="4" name="Change"/>
    <x:tableColumn id="5" name="Unit"/>
    <x:tableColumn id="6" name="Interpret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abricAblationTable" displayName="FabricAblationTable" ref="A5:J9" headerRowCount="1" totalsRowCount="0" totalsRowShown="0">
  <x:tableColumns count="10">
    <x:tableColumn id="1" name="Fabric mode"/>
    <x:tableColumn id="2" name="Fabric assumption"/>
    <x:tableColumn id="3" name="λmin"/>
    <x:tableColumn id="4" name="λmax"/>
    <x:tableColumn id="5" name="Spectral ratio"/>
    <x:tableColumn id="6" name="Jacobian condition"/>
    <x:tableColumn id="7" name="λmin gain"/>
    <x:tableColumn id="8" name="Worst-SD reduction"/>
    <x:tableColumn id="9" name="Gain retained vs shared"/>
    <x:tableColumn id="10" name="Gain / expand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imaryDesignTable" displayName="PrimaryDesignTable" ref="A5:D13" headerRowCount="1" totalsRowCount="0" totalsRowShown="0">
  <x:tableColumns count="4">
    <x:tableColumn id="1" name="Metric"/>
    <x:tableColumn id="2" name="Value"/>
    <x:tableColumn id="3" name="Unit"/>
    <x:tableColumn id="4" name="Audit 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ferenceSensitivityTable" displayName="ReferenceSensitivityTable" ref="J4:N7" headerRowCount="1" totalsRowCount="0" totalsRowShown="0">
  <x:tableColumns count="5">
    <x:tableColumn id="1" name="Reference (MPa)"/>
    <x:tableColumn id="2" name="Best single gain"/>
    <x:tableColumn id="3" name="Best pair gain"/>
    <x:tableColumn id="4" name="Pair P1"/>
    <x:tableColumn id="5" name="Pair P2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estDesignsPrimaryTable" displayName="BestDesignsPrimaryTable" ref="A16:M24" headerRowCount="1" totalsRowCount="0" totalsRowShown="0">
  <x:tableColumns count="13">
    <x:tableColumn id="1" name="fabric_mode"/>
    <x:tableColumn id="2" name="n_additional_pressures"/>
    <x:tableColumn id="3" name="pressure_1_mpa"/>
    <x:tableColumn id="4" name="pressure_2_mpa"/>
    <x:tableColumn id="5" name="pressure_span_mpa"/>
    <x:tableColumn id="6" name="lambda_min"/>
    <x:tableColumn id="7" name="lambda_max"/>
    <x:tableColumn id="8" name="spectral_ratio"/>
    <x:tableColumn id="9" name="condition_number"/>
    <x:tableColumn id="10" name="lambda_min_gain"/>
    <x:tableColumn id="11" name="worst_sd_reduction"/>
    <x:tableColumn id="12" name="determinant_gain"/>
    <x:tableColumn id="13" name="strong_direction_rotation_deg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rajectoryDesignTable" displayName="TrajectoryDesignTable" ref="A28:O30" headerRowCount="1" totalsRowCount="0" totalsRowShown="0">
  <x:tableColumns count="15">
    <x:tableColumn id="1" name="trajectory"/>
    <x:tableColumn id="2" name="n_samples"/>
    <x:tableColumn id="3" name="fabric_mode"/>
    <x:tableColumn id="4" name="Vcem_fraction"/>
    <x:tableColumn id="5" name="Cn"/>
    <x:tableColumn id="6" name="pressure_1_mpa"/>
    <x:tableColumn id="7" name="pressure_2_mpa"/>
    <x:tableColumn id="8" name="baseline_lambda_min"/>
    <x:tableColumn id="9" name="lambda_min"/>
    <x:tableColumn id="10" name="lambda_max"/>
    <x:tableColumn id="11" name="spectral_ratio"/>
    <x:tableColumn id="12" name="condition_number"/>
    <x:tableColumn id="13" name="lambda_min_gain"/>
    <x:tableColumn id="14" name="worst_sd_reduction"/>
    <x:tableColumn id="15" name="strong_direction_rotation_deg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OperatingSensitivityTable" displayName="OperatingSensitivityTable" ref="A34:N43" headerRowCount="1" totalsRowCount="0" totalsRowShown="0">
  <x:tableColumns count="14">
    <x:tableColumn id="1" name="E2_Vcem_quantile"/>
    <x:tableColumn id="2" name="E2_replicate"/>
    <x:tableColumn id="3" name="Vcem_fraction"/>
    <x:tableColumn id="4" name="Cn"/>
    <x:tableColumn id="5" name="pressure_1_mpa"/>
    <x:tableColumn id="6" name="pressure_2_mpa"/>
    <x:tableColumn id="7" name="baseline_lambda_min"/>
    <x:tableColumn id="8" name="lambda_min"/>
    <x:tableColumn id="9" name="lambda_max"/>
    <x:tableColumn id="10" name="spectral_ratio"/>
    <x:tableColumn id="11" name="condition_number"/>
    <x:tableColumn id="12" name="lambda_min_gain"/>
    <x:tableColumn id="13" name="worst_sd_reduction"/>
    <x:tableColumn id="14" name="strong_direction_rotation_deg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BootstrapSummaryTable" displayName="BootstrapSummaryTable" ref="A5:J23" headerRowCount="1" totalsRowCount="0" totalsRowShown="0">
  <x:tableColumns count="10">
    <x:tableColumn id="1" name="fabric_mode"/>
    <x:tableColumn id="2" name="design"/>
    <x:tableColumn id="3" name="pressures_mpa"/>
    <x:tableColumn id="4" name="metric"/>
    <x:tableColumn id="5" name="median"/>
    <x:tableColumn id="6" name="q025"/>
    <x:tableColumn id="7" name="q975"/>
    <x:tableColumn id="8" name="minimum"/>
    <x:tableColumn id="9" name="maximum"/>
    <x:tableColumn id="10" name="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onditionalSelectionSummary" displayName="ConditionalSelectionSummary" ref="A27:F30" headerRowCount="1" totalsRowCount="0" totalsRowShown="0">
  <x:tableColumns count="6">
    <x:tableColumn id="1" name="Block length (samples)"/>
    <x:tableColumn id="2" name="Approx. block length (m)"/>
    <x:tableColumn id="3" name="Replicates"/>
    <x:tableColumn id="4" name="Full-pair selection frequency"/>
    <x:tableColumn id="5" name="Median regret"/>
    <x:tableColumn id="6" name="Maximum regre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obustnessControlsTable" displayName="RobustnessControlsTable" ref="A34:J37" headerRowCount="1" totalsRowCount="0" totalsRowShown="0">
  <x:tableColumns count="10">
    <x:tableColumn id="1" name="Control"/>
    <x:tableColumn id="2" name="State"/>
    <x:tableColumn id="3" name="n"/>
    <x:tableColumn id="4" name="Vcem fraction"/>
    <x:tableColumn id="5" name="Cn"/>
    <x:tableColumn id="6" name="P1 (MPa)"/>
    <x:tableColumn id="7" name="P2 (MPa)"/>
    <x:tableColumn id="8" name="Gain / low"/>
    <x:tableColumn id="9" name="Worst-SD / high"/>
    <x:tableColumn id="10" name="Spectral ratio / selection freq.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GenericDiscrepancyTable" displayName="GenericDiscrepancyTable" ref="A5:I10" headerRowCount="1" totalsRowCount="0" totalsRowShown="0">
  <x:tableColumns count="9">
    <x:tableColumn id="1" name="trajectory_discrepancy_percent"/>
    <x:tableColumn id="2" name="n_basis_terms"/>
    <x:tableColumn id="3" name="lambda_min"/>
    <x:tableColumn id="4" name="lambda_max"/>
    <x:tableColumn id="5" name="spectral_ratio"/>
    <x:tableColumn id="6" name="condition_number"/>
    <x:tableColumn id="7" name="lambda_min_gain"/>
    <x:tableColumn id="8" name="worst_sd_reduction"/>
    <x:tableColumn id="9" name="strong_direction_rotation_deg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rgetDiscrepancyTable" displayName="TargetDiscrepancyTable" ref="K5:S10" headerRowCount="1" totalsRowCount="0" totalsRowShown="0">
  <x:tableColumns count="9">
    <x:tableColumn id="1" name="target_aligned_discrepancy_percent_rms"/>
    <x:tableColumn id="2" name="raw_alignment_rms_per_scaled_parameter"/>
    <x:tableColumn id="3" name="lambda_min"/>
    <x:tableColumn id="4" name="lambda_max"/>
    <x:tableColumn id="5" name="spectral_ratio"/>
    <x:tableColumn id="6" name="condition_number"/>
    <x:tableColumn id="7" name="lambda_min_gain"/>
    <x:tableColumn id="8" name="worst_sd_reduction"/>
    <x:tableColumn id="9" name="strong_direction_rotation_deg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BasisAblationTable" displayName="BasisAblationTable" ref="A15:E18" headerRowCount="1" totalsRowCount="0" totalsRowShown="0">
  <x:tableColumns count="5">
    <x:tableColumn id="1" name="Basis"/>
    <x:tableColumn id="2" name="Terms"/>
    <x:tableColumn id="3" name="λmin gain"/>
    <x:tableColumn id="4" name="Worst-SD reduction"/>
    <x:tableColumn id="5" name="Spectral ratio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NoGoAuditTable" displayName="NoGoAuditTable" ref="A23:E29" headerRowCount="1" totalsRowCount="0" totalsRowShown="0">
  <x:tableColumns count="5">
    <x:tableColumn id="1" name="pressure_mpa"/>
    <x:tableColumn id="2" name="max_abs_delta_Vp_mps"/>
    <x:tableColumn id="3" name="max_abs_delta_Vs_mps"/>
    <x:tableColumn id="4" name="max_abs_delta_rho_gcc"/>
    <x:tableColumn id="5" name="differential_target_jacobian_norm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NoGoRepetitionTable" displayName="NoGoRepetitionTable" ref="A33:H39" headerRowCount="1" totalsRowCount="0" totalsRowShown="0">
  <x:tableColumns count="8">
    <x:tableColumn id="1" name="n_identical_static_states"/>
    <x:tableColumn id="2" name="lambda_min"/>
    <x:tableColumn id="3" name="lambda_max"/>
    <x:tableColumn id="4" name="lambda_min_gain"/>
    <x:tableColumn id="5" name="spectral_ratio"/>
    <x:tableColumn id="6" name="raw_strong_direction_rotation_deg"/>
    <x:tableColumn id="7" name="target_rank"/>
    <x:tableColumn id="8" name="new_sensitivity_direction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MultiFluidTable" displayName="MultiFluidTable" ref="A43:F48" headerRowCount="1" totalsRowCount="0" totalsRowShown="0">
  <x:tableColumns count="6">
    <x:tableColumn id="1" name="design"/>
    <x:tableColumn id="2" name="n_additional_states"/>
    <x:tableColumn id="3" name="lambda_min"/>
    <x:tableColumn id="4" name="lambda_min_gain"/>
    <x:tableColumn id="5" name="spectral_ratio"/>
    <x:tableColumn id="6" name="strong_direction_rotation_deg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BoundingValidityTable" displayName="BoundingValidityTable" ref="A52:F54" headerRowCount="1" totalsRowCount="0" totalsRowShown="0">
  <x:tableColumns count="6">
    <x:tableColumn id="1" name="Domain"/>
    <x:tableColumn id="2" name="W_K min"/>
    <x:tableColumn id="3" name="W_K max"/>
    <x:tableColumn id="4" name="W_G min"/>
    <x:tableColumn id="5" name="W_G max"/>
    <x:tableColumn id="6" name="Maximum outside [0,1]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rofileWidthsTable" displayName="ProfileWidthsTable" ref="A5:N13" headerRowCount="1" totalsRowCount="0" totalsRowShown="0">
  <x:tableColumns count="14">
    <x:tableColumn id="1" name="Objective"/>
    <x:tableColumn id="2" name="Threshold ΔΦ"/>
    <x:tableColumn id="3" name="Vcem min"/>
    <x:tableColumn id="4" name="Vcem max"/>
    <x:tableColumn id="5" name="Vcem width (pp; ≥ if censored)"/>
    <x:tableColumn id="6" name="Vcem lower censored"/>
    <x:tableColumn id="7" name="Vcem upper censored"/>
    <x:tableColumn id="8" name="Cn min"/>
    <x:tableColumn id="9" name="Cn max"/>
    <x:tableColumn id="10" name="Cn width (≥ if censored)"/>
    <x:tableColumn id="11" name="Cn lower censored"/>
    <x:tableColumn id="12" name="Cn upper censored"/>
    <x:tableColumn id="13" name="Truth Vcem"/>
    <x:tableColumn id="14" name="Truth Cn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VcemProfileTable" displayName="VcemProfileTable" ref="A17:D49" headerRowCount="1" totalsRowCount="0" totalsRowShown="0">
  <x:tableColumns count="4">
    <x:tableColumn id="1" name="Vcem (%)"/>
    <x:tableColumn id="2" name="Static adjusted ΔΦ"/>
    <x:tableColumn id="3" name="Combined adjusted ΔΦ"/>
    <x:tableColumn id="4" name="Threshold 2.30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CnProfileTable" displayName="CnProfileTable" ref="F17:I51" headerRowCount="1" totalsRowCount="0" totalsRowShown="0">
  <x:tableColumns count="4">
    <x:tableColumn id="1" name="Cn"/>
    <x:tableColumn id="2" name="Static adjusted ΔΦ"/>
    <x:tableColumn id="3" name="Combined adjusted ΔΦ"/>
    <x:tableColumn id="4" name="Threshold 2.30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FiniteDifferenceTable" displayName="FiniteDifferenceTable" ref="F5:K8" headerRowCount="1" totalsRowCount="0" totalsRowShown="0">
  <x:tableColumns count="6">
    <x:tableColumn id="1" name="step"/>
    <x:tableColumn id="2" name="target_relative_error_to_1e-4"/>
    <x:tableColumn id="3" name="nuisance_relative_error_to_1e-4"/>
    <x:tableColumn id="4" name="target_norm"/>
    <x:tableColumn id="5" name="nuisance_norm"/>
    <x:tableColumn id="6" name="n_nuisanc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VerificationChecksTable" displayName="VerificationChecksTable" ref="A9:E115" headerRowCount="1" totalsRowCount="0" totalsRowShown="0">
  <x:tableColumns count="5">
    <x:tableColumn id="1" name="ID"/>
    <x:tableColumn id="2" name="Passed"/>
    <x:tableColumn id="3" name="Check"/>
    <x:tableColumn id="4" name="Detail"/>
    <x:tableColumn id="5" name="Pass flag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SourceIndexTable" displayName="SourceIndexTable" ref="A4:F32" headerRowCount="1" totalsRowCount="0" totalsRowShown="0">
  <x:tableColumns count="6">
    <x:tableColumn id="1" name="Artifact"/>
    <x:tableColumn id="2" name="Package-relative path"/>
    <x:tableColumn id="3" name="Type"/>
    <x:tableColumn id="4" name="Records / checks"/>
    <x:tableColumn id="5" name="Workbook destination"/>
    <x:tableColumn id="6" name="Scope note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rovenanceHashesTable" displayName="ProvenanceHashesTable" ref="A36:D40" headerRowCount="1" totalsRowCount="0" totalsRowShown="0">
  <x:tableColumns count="4">
    <x:tableColumn id="1" name="Artifact key"/>
    <x:tableColumn id="2" name="Digest"/>
    <x:tableColumn id="3" name="Algorithm"/>
    <x:tableColumn id="4" name="Sco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cf8d95c9a74360" /><Relationship Type="http://schemas.openxmlformats.org/officeDocument/2006/relationships/table" Target="/xl/tables/table2.xml" Id="R8fb0168ff5954cd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a03eeeb26af4110" /><Relationship Type="http://schemas.openxmlformats.org/officeDocument/2006/relationships/table" Target="/xl/tables/table3.xml" Id="Rdb4afa707ecf46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9b63077757ed4af9" /><Relationship Type="http://schemas.openxmlformats.org/officeDocument/2006/relationships/table" Target="/xl/tables/table4.xml" Id="Rb50c06056f8d4aac" /><Relationship Type="http://schemas.openxmlformats.org/officeDocument/2006/relationships/table" Target="/xl/tables/table5.xml" Id="R5b3499b9cfae4598" /><Relationship Type="http://schemas.openxmlformats.org/officeDocument/2006/relationships/table" Target="/xl/tables/table6.xml" Id="Rfd9003343c04410e" /><Relationship Type="http://schemas.openxmlformats.org/officeDocument/2006/relationships/table" Target="/xl/tables/table7.xml" Id="R2c865e96bfd14a19" /><Relationship Type="http://schemas.openxmlformats.org/officeDocument/2006/relationships/table" Target="/xl/tables/table8.xml" Id="R76f7093fb1a84c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8ddfe0fbc6bc43b7" /><Relationship Type="http://schemas.openxmlformats.org/officeDocument/2006/relationships/table" Target="/xl/tables/table9.xml" Id="R8c371d450912427b" /><Relationship Type="http://schemas.openxmlformats.org/officeDocument/2006/relationships/table" Target="/xl/tables/table10.xml" Id="R67c79325d46744cd" /><Relationship Type="http://schemas.openxmlformats.org/officeDocument/2006/relationships/table" Target="/xl/tables/table11.xml" Id="R565f1df8cd8c44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9ce34bf4378340e0" /><Relationship Type="http://schemas.openxmlformats.org/officeDocument/2006/relationships/table" Target="/xl/tables/table12.xml" Id="R9818dae365d64c45" /><Relationship Type="http://schemas.openxmlformats.org/officeDocument/2006/relationships/table" Target="/xl/tables/table13.xml" Id="R9c82839d5acb4086" /><Relationship Type="http://schemas.openxmlformats.org/officeDocument/2006/relationships/table" Target="/xl/tables/table14.xml" Id="Ra472850245e74be2" /><Relationship Type="http://schemas.openxmlformats.org/officeDocument/2006/relationships/table" Target="/xl/tables/table15.xml" Id="Rfb38e7c9eded48c8" /><Relationship Type="http://schemas.openxmlformats.org/officeDocument/2006/relationships/table" Target="/xl/tables/table16.xml" Id="R441adb6f42c54dd6" /><Relationship Type="http://schemas.openxmlformats.org/officeDocument/2006/relationships/table" Target="/xl/tables/table17.xml" Id="R346c2bd84e6642a1" /><Relationship Type="http://schemas.openxmlformats.org/officeDocument/2006/relationships/table" Target="/xl/tables/table18.xml" Id="Rc098e359c9dd44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ffb5509c531744e8" /><Relationship Type="http://schemas.openxmlformats.org/officeDocument/2006/relationships/table" Target="/xl/tables/table19.xml" Id="R04b062555bd9411e" /><Relationship Type="http://schemas.openxmlformats.org/officeDocument/2006/relationships/table" Target="/xl/tables/table20.xml" Id="R7ff76f62587e4404" /><Relationship Type="http://schemas.openxmlformats.org/officeDocument/2006/relationships/table" Target="/xl/tables/table21.xml" Id="Re107ca02732c47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2.xml" Id="Rd0dd1b00c54442ce" /><Relationship Type="http://schemas.openxmlformats.org/officeDocument/2006/relationships/table" Target="/xl/tables/table23.xml" Id="R2e0aefefdfde48b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24.xml" Id="R5ff7882f7b8646d2" /><Relationship Type="http://schemas.openxmlformats.org/officeDocument/2006/relationships/table" Target="/xl/tables/table25.xml" Id="R4bfe146f11de43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28.889999389648438" hidden="0" customWidth="1"/>
    <x:col min="3" max="3" width="11.109999656677246" hidden="0" customWidth="1"/>
    <x:col min="4" max="4" width="31.110000610351562" hidden="0" customWidth="1"/>
    <x:col min="5" max="5" width="9.4399995803833" hidden="0" customWidth="1"/>
    <x:col min="6" max="6" width="9.4399995803833" hidden="0" customWidth="1"/>
    <x:col min="7" max="7" width="10.5600004196167" hidden="0" customWidth="1"/>
    <x:col min="8" max="8" width="2.440000057220459" hidden="0" customWidth="1"/>
    <x:col min="9" max="9" width="18.329999923706055" hidden="0" customWidth="1"/>
    <x:col min="10" max="10" width="10.5600004196167" hidden="0" customWidth="1"/>
    <x:col min="11" max="11" width="10.5600004196167" hidden="0" customWidth="1"/>
    <x:col min="12" max="12" width="10.5600004196167" hidden="0" customWidth="1"/>
    <x:col min="13" max="13" width="12.779999732971191" hidden="0" customWidth="1"/>
    <x:col min="14" max="14" width="21.110000610351562" hidden="0" customWidth="1"/>
  </x:cols>
  <x:sheetData>
    <x:row r="1" ht="30" customHeight="1">
      <x:c r="A1" s="3" t="str">
        <x:v>Constant-cement E3: nuisance-adjusted pressure design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Prospective Break experiment. Primary result: expanded fabric nuisances, 39 MPa reference, and a finite 5–60 MPa candidate set.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10" t="str">
        <x:v>Selected added pressures</x:v>
      </x:c>
      <x:c r="B4" s="10"/>
      <x:c r="C4" s="10"/>
      <x:c r="E4" s="43" t="str">
        <x:v>Adjusted λmin gain</x:v>
      </x:c>
      <x:c r="F4" s="43"/>
      <x:c r="G4" s="43"/>
      <x:c r="I4" s="71" t="str">
        <x:v>Worst-SD reduction</x:v>
      </x:c>
      <x:c r="J4" s="71"/>
      <x:c r="K4" s="71"/>
      <x:c r="M4" s="99" t="str">
        <x:v>Verification</x:v>
      </x:c>
      <x:c r="N4" s="99"/>
    </x:row>
    <x:row r="5">
      <x:c r="A5" s="30" t="str">
        <x:v>5.0 + 7.5 MPa</x:v>
      </x:c>
      <x:c r="B5" s="31"/>
      <x:c r="C5" s="32"/>
      <x:c r="E5" s="68" t="n">
        <x:f>'Fabric ablation'!G9</x:f>
        <x:v>3.3511375010382625</x:v>
      </x:c>
      <x:c r="F5" s="61"/>
      <x:c r="G5" s="62"/>
      <x:c r="I5" s="96" t="n">
        <x:f>'Fabric ablation'!H9</x:f>
        <x:v>1.8306112370020737</x:v>
      </x:c>
      <x:c r="J5" s="89"/>
      <x:c r="K5" s="90"/>
      <x:c r="M5" s="112" t="str">
        <x:f>'Verification'!A5</x:f>
        <x:v>PASS</x:v>
      </x:c>
      <x:c r="N5" s="113"/>
    </x:row>
    <x:row r="6">
      <x:c r="A6" s="33"/>
      <x:c r="B6" s="34"/>
      <x:c r="C6" s="35"/>
      <x:c r="E6" s="63"/>
      <x:c r="F6" s="34"/>
      <x:c r="G6" s="64"/>
      <x:c r="I6" s="91"/>
      <x:c r="J6" s="34"/>
      <x:c r="K6" s="92"/>
      <x:c r="M6" s="114"/>
      <x:c r="N6" s="115"/>
    </x:row>
    <x:row r="7">
      <x:c r="A7" s="33"/>
      <x:c r="B7" s="34"/>
      <x:c r="C7" s="35"/>
      <x:c r="E7" s="65"/>
      <x:c r="F7" s="66"/>
      <x:c r="G7" s="67"/>
      <x:c r="I7" s="93"/>
      <x:c r="J7" s="94"/>
      <x:c r="K7" s="95"/>
      <x:c r="M7" s="116"/>
      <x:c r="N7" s="117"/>
    </x:row>
    <x:row r="8">
      <x:c r="A8" s="36"/>
      <x:c r="B8" s="37"/>
      <x:c r="C8" s="38"/>
    </x:row>
    <x:row r="9">
      <x:c r="A9" s="40" t="str">
        <x:v>Both are in addition to the 39 MPa reference</x:v>
      </x:c>
      <x:c r="B9" s="40"/>
      <x:c r="C9" s="40"/>
    </x:row>
    <x:row r="11">
      <x:c r="A11" s="119" t="str">
        <x:v>Primary assumptions</x:v>
      </x:c>
      <x:c r="B11" s="119" t="str">
        <x:v>Primary assumptions</x:v>
      </x:c>
      <x:c r="C11" s="119" t="str">
        <x:v>Primary assumptions</x:v>
      </x:c>
      <x:c r="D11" s="119" t="str">
        <x:v>Primary assumptions</x:v>
      </x:c>
      <x:c r="E11" s="119" t="str">
        <x:v>Primary assumptions</x:v>
      </x:c>
      <x:c r="F11" s="119" t="str">
        <x:v>Primary assumptions</x:v>
      </x:c>
      <x:c r="G11" s="119" t="str">
        <x:v>Primary assumptions</x:v>
      </x:c>
      <x:c r="I11" s="147" t="str">
        <x:v>Local uncertainty before and after the design</x:v>
      </x:c>
      <x:c r="J11" s="147" t="str">
        <x:v>Local uncertainty before and after the design</x:v>
      </x:c>
      <x:c r="K11" s="147" t="str">
        <x:v>Local uncertainty before and after the design</x:v>
      </x:c>
      <x:c r="L11" s="147" t="str">
        <x:v>Local uncertainty before and after the design</x:v>
      </x:c>
      <x:c r="M11" s="147" t="str">
        <x:v>Local uncertainty before and after the design</x:v>
      </x:c>
      <x:c r="N11" s="147" t="str">
        <x:v>Local uncertainty before and after the design</x:v>
      </x:c>
    </x:row>
    <x:row r="12">
      <x:c r="A12" s="127" t="str">
        <x:v>Assumption</x:v>
      </x:c>
      <x:c r="B12" s="128" t="str">
        <x:v>Value</x:v>
      </x:c>
      <x:c r="C12" s="128" t="str">
        <x:v>Unit</x:v>
      </x:c>
      <x:c r="D12" s="129" t="str">
        <x:v>Audit note</x:v>
      </x:c>
      <x:c r="I12" s="155" t="str">
        <x:v>Quantity</x:v>
      </x:c>
      <x:c r="J12" s="156" t="str">
        <x:v>Static</x:v>
      </x:c>
      <x:c r="K12" s="156" t="str">
        <x:v>Post-design</x:v>
      </x:c>
      <x:c r="L12" s="156" t="str">
        <x:v>Change</x:v>
      </x:c>
      <x:c r="M12" s="156" t="str">
        <x:v>Unit</x:v>
      </x:c>
      <x:c r="N12" s="157" t="str">
        <x:v>Interpretation</x:v>
      </x:c>
    </x:row>
    <x:row r="13" ht="28" customHeight="1">
      <x:c r="A13" s="140" t="str">
        <x:v>Static model</x:v>
      </x:c>
      <x:c r="B13" s="141" t="str">
        <x:v>frozen RPIA constant-cement Scheme 1</x:v>
      </x:c>
      <x:c r="C13" s="140" t="str">
        <x:v>—</x:v>
      </x:c>
      <x:c r="D13" s="140" t="str">
        <x:v>Frozen E1/RPIA forward model</x:v>
      </x:c>
      <x:c r="I13" s="134" t="str">
        <x:v>SD Vcem</x:v>
      </x:c>
      <x:c r="J13" s="158" t="n">
        <x:v>14.079153036144652</x:v>
      </x:c>
      <x:c r="K13" s="158" t="n">
        <x:v>7.650184646562136</x:v>
      </x:c>
      <x:c r="L13" s="158" t="n">
        <x:f>J13/K13</x:f>
        <x:v>1.8403677409893089</x:v>
      </x:c>
      <x:c r="M13" s="134" t="str">
        <x:v>percentage points</x:v>
      </x:c>
      <x:c r="N13" s="134" t="str">
        <x:v>Unconstrained local Gaussian</x:v>
      </x:c>
    </x:row>
    <x:row r="14" ht="28" customHeight="1">
      <x:c r="A14" s="142" t="str">
        <x:v>Pressure extension</x:v>
      </x:c>
      <x:c r="B14" s="143" t="str">
        <x:v>Avseth-Skjei-inspired bounding average</x:v>
      </x:c>
      <x:c r="C14" s="142" t="str">
        <x:v>—</x:v>
      </x:c>
      <x:c r="D14" s="142" t="str">
        <x:v>prospective heuristic experimental-design model</x:v>
      </x:c>
      <x:c r="I14" s="135" t="str">
        <x:v>SD ln Cn</x:v>
      </x:c>
      <x:c r="J14" s="159" t="n">
        <x:v>2.813253253832777</x:v>
      </x:c>
      <x:c r="K14" s="159" t="n">
        <x:v>1.540668623890125</x:v>
      </x:c>
      <x:c r="L14" s="159" t="n">
        <x:f>J14/K14</x:f>
        <x:v>1.8259950324226295</x:v>
      </x:c>
      <x:c r="M14" s="135" t="str">
        <x:v>log units</x:v>
      </x:c>
      <x:c r="N14" s="135" t="str">
        <x:v>Unconstrained local Gaussian</x:v>
      </x:c>
    </x:row>
    <x:row r="15" ht="28" customHeight="1">
      <x:c r="A15" s="142" t="str">
        <x:v>Primary fabric mode</x:v>
      </x:c>
      <x:c r="B15" s="143" t="str">
        <x:v>expanded_nuisance</x:v>
      </x:c>
      <x:c r="C15" s="142" t="str">
        <x:v>—</x:v>
      </x:c>
      <x:c r="D15" s="142" t="str">
        <x:v>Conservative Schur-adjusted analysis</x:v>
      </x:c>
      <x:c r="I15" s="135" t="str">
        <x:v>Multiplicative Cn factor</x:v>
      </x:c>
      <x:c r="J15" s="159" t="n">
        <x:v>16.664042491156277</x:v>
      </x:c>
      <x:c r="K15" s="159" t="n">
        <x:f>EXP(K14)</x:f>
        <x:v>4.667710170384358</x:v>
      </x:c>
      <x:c r="L15" s="159" t="n">
        <x:f>J15/K15</x:f>
        <x:v>3.5700679525661494</x:v>
      </x:c>
      <x:c r="M15" s="135" t="str">
        <x:v>factor</x:v>
      </x:c>
      <x:c r="N15" s="135" t="str">
        <x:v>Post factor is exp(post SD ln Cn)</x:v>
      </x:c>
    </x:row>
    <x:row r="16" ht="28" customHeight="1">
      <x:c r="A16" s="142" t="str">
        <x:v>Reference pressure</x:v>
      </x:c>
      <x:c r="B16" s="143" t="n">
        <x:v>39</x:v>
      </x:c>
      <x:c r="C16" s="142" t="str">
        <x:v>MPa</x:v>
      </x:c>
      <x:c r="D16" s="142" t="str">
        <x:v>Absolute reference state</x:v>
      </x:c>
      <x:c r="I16" s="136" t="str">
        <x:v>Corr(Vcem, ln Cn)</x:v>
      </x:c>
      <x:c r="J16" s="160" t="n">
        <x:v>-0.9990026773441445</x:v>
      </x:c>
      <x:c r="K16" s="160" t="n">
        <x:v>-0.9984188232644072</x:v>
      </x:c>
      <x:c r="L16" s="160" t="n">
        <x:f>K16-J16</x:f>
        <x:v>0.0005838540797372671</x:v>
      </x:c>
      <x:c r="M16" s="136" t="str">
        <x:v>correlation</x:v>
      </x:c>
      <x:c r="N16" s="136" t="str">
        <x:v>Near-perfect compensation remains</x:v>
      </x:c>
    </x:row>
    <x:row r="17" ht="28" customHeight="1">
      <x:c r="A17" s="142" t="str">
        <x:v>Per-state log-velocity σ</x:v>
      </x:c>
      <x:c r="B17" s="143" t="n">
        <x:v>0.005</x:v>
      </x:c>
      <x:c r="C17" s="142" t="str">
        <x:v>fraction</x:v>
      </x:c>
      <x:c r="D17" s="142" t="str">
        <x:v>0.50% per absolute state</x:v>
      </x:c>
    </x:row>
    <x:row r="18" ht="28" customHeight="1">
      <x:c r="A18" s="142" t="str">
        <x:v>Shared-reference error correlation</x:v>
      </x:c>
      <x:c r="B18" s="143" t="n">
        <x:v>0.5</x:v>
      </x:c>
      <x:c r="C18" s="142" t="str">
        <x:v>correlation</x:v>
      </x:c>
      <x:c r="D18" s="142" t="str">
        <x:v>Two differences share the 39 MPa observation</x:v>
      </x:c>
    </x:row>
    <x:row r="19" ht="28" customHeight="1">
      <x:c r="A19" s="144" t="str">
        <x:v>Trajectory discrepancy σ</x:v>
      </x:c>
      <x:c r="B19" s="145" t="n">
        <x:v>0.01</x:v>
      </x:c>
      <x:c r="C19" s="144" t="str">
        <x:v>fraction RMS</x:v>
      </x:c>
      <x:c r="D19" s="144" t="str">
        <x:v>Intercept + porosity + clay basis</x:v>
      </x:c>
    </x:row>
    <x:row r="21">
      <x:c r="A21" s="163" t="str">
        <x:v>Scientific interpretation</x:v>
      </x:c>
      <x:c r="B21" s="163" t="str">
        <x:v>Scientific interpretation</x:v>
      </x:c>
      <x:c r="C21" s="163" t="str">
        <x:v>Scientific interpretation</x:v>
      </x:c>
      <x:c r="D21" s="163" t="str">
        <x:v>Scientific interpretation</x:v>
      </x:c>
      <x:c r="E21" s="163" t="str">
        <x:v>Scientific interpretation</x:v>
      </x:c>
      <x:c r="F21" s="163" t="str">
        <x:v>Scientific interpretation</x:v>
      </x:c>
      <x:c r="G21" s="163" t="str">
        <x:v>Scientific interpretation</x:v>
      </x:c>
      <x:c r="H21" s="163" t="str">
        <x:v>Scientific interpretation</x:v>
      </x:c>
      <x:c r="I21" s="163" t="str">
        <x:v>Scientific interpretation</x:v>
      </x:c>
      <x:c r="J21" s="163" t="str">
        <x:v>Scientific interpretation</x:v>
      </x:c>
      <x:c r="K21" s="163" t="str">
        <x:v>Scientific interpretation</x:v>
      </x:c>
      <x:c r="L21" s="163" t="str">
        <x:v>Scientific interpretation</x:v>
      </x:c>
      <x:c r="M21" s="163" t="str">
        <x:v>Scientific interpretation</x:v>
      </x:c>
      <x:c r="N21" s="163" t="str">
        <x:v>Scientific interpretation</x:v>
      </x:c>
    </x:row>
    <x:row r="22">
      <x:c r="A22" s="183" t="str">
        <x:v>Pressure labels cannot create a constitutively new direction in the frozen constant-cement model. The prospective stress-sensitive extension appears to contract the ridge only while important compliant and stiff fabric variables remain linked to the nominal targets. When compliant-contact Cn, stiff-bound Cn, and compliant critical porosity are all nuisance-adjusted, most of the apparent remediation is absorbed.</x:v>
      </x:c>
      <x:c r="B22" s="184"/>
      <x:c r="C22" s="184"/>
      <x:c r="D22" s="184"/>
      <x:c r="E22" s="184"/>
      <x:c r="F22" s="184"/>
      <x:c r="G22" s="184"/>
      <x:c r="H22" s="184"/>
      <x:c r="I22" s="184"/>
      <x:c r="J22" s="184"/>
      <x:c r="K22" s="184"/>
      <x:c r="L22" s="184"/>
      <x:c r="M22" s="184"/>
      <x:c r="N22" s="185"/>
    </x:row>
    <x:row r="23">
      <x:c r="A23" s="186"/>
      <x:c r="B23" s="187"/>
      <x:c r="C23" s="187"/>
      <x:c r="D23" s="187"/>
      <x:c r="E23" s="187"/>
      <x:c r="F23" s="187"/>
      <x:c r="G23" s="187"/>
      <x:c r="H23" s="187"/>
      <x:c r="I23" s="187"/>
      <x:c r="J23" s="187"/>
      <x:c r="K23" s="187"/>
      <x:c r="L23" s="187"/>
      <x:c r="M23" s="187"/>
      <x:c r="N23" s="188"/>
    </x:row>
    <x:row r="24">
      <x:c r="A24" s="186"/>
      <x:c r="B24" s="187"/>
      <x:c r="C24" s="187"/>
      <x:c r="D24" s="187"/>
      <x:c r="E24" s="187"/>
      <x:c r="F24" s="187"/>
      <x:c r="G24" s="187"/>
      <x:c r="H24" s="187"/>
      <x:c r="I24" s="187"/>
      <x:c r="J24" s="187"/>
      <x:c r="K24" s="187"/>
      <x:c r="L24" s="187"/>
      <x:c r="M24" s="187"/>
      <x:c r="N24" s="188"/>
    </x:row>
    <x:row r="25">
      <x:c r="A25" s="189"/>
      <x:c r="B25" s="190"/>
      <x:c r="C25" s="190"/>
      <x:c r="D25" s="190"/>
      <x:c r="E25" s="190"/>
      <x:c r="F25" s="190"/>
      <x:c r="G25" s="190"/>
      <x:c r="H25" s="190"/>
      <x:c r="I25" s="190"/>
      <x:c r="J25" s="190"/>
      <x:c r="K25" s="190"/>
      <x:c r="L25" s="190"/>
      <x:c r="M25" s="190"/>
      <x:c r="N25" s="191"/>
    </x:row>
    <x:row r="27">
      <x:c r="A27" s="194" t="str">
        <x:v>Decision boundary</x:v>
      </x:c>
      <x:c r="B27" s="194" t="str">
        <x:v>Decision boundary</x:v>
      </x:c>
      <x:c r="C27" s="194" t="str">
        <x:v>Decision boundary</x:v>
      </x:c>
      <x:c r="D27" s="194" t="str">
        <x:v>Decision boundary</x:v>
      </x:c>
      <x:c r="E27" s="194" t="str">
        <x:v>Decision boundary</x:v>
      </x:c>
      <x:c r="F27" s="194" t="str">
        <x:v>Decision boundary</x:v>
      </x:c>
      <x:c r="G27" s="194" t="str">
        <x:v>Decision boundary</x:v>
      </x:c>
      <x:c r="H27" s="194" t="str">
        <x:v>Decision boundary</x:v>
      </x:c>
      <x:c r="I27" s="194" t="str">
        <x:v>Decision boundary</x:v>
      </x:c>
      <x:c r="J27" s="194" t="str">
        <x:v>Decision boundary</x:v>
      </x:c>
      <x:c r="K27" s="194" t="str">
        <x:v>Decision boundary</x:v>
      </x:c>
      <x:c r="L27" s="194" t="str">
        <x:v>Decision boundary</x:v>
      </x:c>
      <x:c r="M27" s="194" t="str">
        <x:v>Decision boundary</x:v>
      </x:c>
      <x:c r="N27" s="194" t="str">
        <x:v>Decision boundary</x:v>
      </x:c>
    </x:row>
    <x:row r="28">
      <x:c r="A28" s="214" t="str">
        <x:v>The 5 + 7.5 MPa pair is a candidate laboratory configuration, not a definitive acquisition. It touches the lower boundary of the tested pressure set, and the apparent gain collapses when compliant and stiff fabric variables and target-aligned model error can absorb the new direction.</x:v>
      </x:c>
      <x:c r="B28" s="215"/>
      <x:c r="C28" s="215"/>
      <x:c r="D28" s="215"/>
      <x:c r="E28" s="215"/>
      <x:c r="F28" s="215"/>
      <x:c r="G28" s="215"/>
      <x:c r="H28" s="215"/>
      <x:c r="I28" s="215"/>
      <x:c r="J28" s="215"/>
      <x:c r="K28" s="215"/>
      <x:c r="L28" s="215"/>
      <x:c r="M28" s="215"/>
      <x:c r="N28" s="216"/>
    </x:row>
    <x:row r="29">
      <x:c r="A29" s="217"/>
      <x:c r="B29" s="218"/>
      <x:c r="C29" s="218"/>
      <x:c r="D29" s="218"/>
      <x:c r="E29" s="218"/>
      <x:c r="F29" s="218"/>
      <x:c r="G29" s="218"/>
      <x:c r="H29" s="218"/>
      <x:c r="I29" s="218"/>
      <x:c r="J29" s="218"/>
      <x:c r="K29" s="218"/>
      <x:c r="L29" s="218"/>
      <x:c r="M29" s="218"/>
      <x:c r="N29" s="219"/>
    </x:row>
    <x:row r="30">
      <x:c r="A30" s="217"/>
      <x:c r="B30" s="218"/>
      <x:c r="C30" s="218"/>
      <x:c r="D30" s="218"/>
      <x:c r="E30" s="218"/>
      <x:c r="F30" s="218"/>
      <x:c r="G30" s="218"/>
      <x:c r="H30" s="218"/>
      <x:c r="I30" s="218"/>
      <x:c r="J30" s="218"/>
      <x:c r="K30" s="218"/>
      <x:c r="L30" s="218"/>
      <x:c r="M30" s="218"/>
      <x:c r="N30" s="219"/>
    </x:row>
    <x:row r="31">
      <x:c r="A31" s="220"/>
      <x:c r="B31" s="221"/>
      <x:c r="C31" s="221"/>
      <x:c r="D31" s="221"/>
      <x:c r="E31" s="221"/>
      <x:c r="F31" s="221"/>
      <x:c r="G31" s="221"/>
      <x:c r="H31" s="221"/>
      <x:c r="I31" s="221"/>
      <x:c r="J31" s="221"/>
      <x:c r="K31" s="221"/>
      <x:c r="L31" s="221"/>
      <x:c r="M31" s="221"/>
      <x:c r="N31" s="222"/>
    </x:row>
  </x:sheetData>
  <x:mergeCells>
    <x:mergeCell ref="A1:N1"/>
    <x:mergeCell ref="A2:N2"/>
    <x:mergeCell ref="A4:C4"/>
    <x:mergeCell ref="A5:C8"/>
    <x:mergeCell ref="A9:C9"/>
    <x:mergeCell ref="E4:G4"/>
    <x:mergeCell ref="E5:G7"/>
    <x:mergeCell ref="I4:K4"/>
    <x:mergeCell ref="I5:K7"/>
    <x:mergeCell ref="M4:N4"/>
    <x:mergeCell ref="M5:N7"/>
    <x:mergeCell ref="A11:G11"/>
    <x:mergeCell ref="I11:N11"/>
    <x:mergeCell ref="A21:N21"/>
    <x:mergeCell ref="A22:N25"/>
    <x:mergeCell ref="A27:N27"/>
    <x:mergeCell ref="A28:N31"/>
  </x:mergeCells>
  <x:pageMargins left="0.7" right="0.7" top="0.75" bottom="0.75" header="0.3" footer="0.3"/>
  <x:tableParts count="2">
    <x:tablePart xmlns:r="http://schemas.openxmlformats.org/officeDocument/2006/relationships" r:id="R37cf8d95c9a74360"/>
    <x:tablePart xmlns:r="http://schemas.openxmlformats.org/officeDocument/2006/relationships" r:id="R8fb0168ff5954cd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33.33000183105469" hidden="0" customWidth="1"/>
    <x:col min="3" max="3" width="10" hidden="0" customWidth="1"/>
    <x:col min="4" max="4" width="10" hidden="0" customWidth="1"/>
    <x:col min="5" max="5" width="11.670000076293945" hidden="0" customWidth="1"/>
    <x:col min="6" max="6" width="12.220000267028809" hidden="0" customWidth="1"/>
    <x:col min="7" max="7" width="10.5600004196167" hidden="0" customWidth="1"/>
    <x:col min="8" max="8" width="12.779999732971191" hidden="0" customWidth="1"/>
    <x:col min="9" max="9" width="13.890000343322754" hidden="0" customWidth="1"/>
    <x:col min="10" max="10" width="11.670000076293945" hidden="0" customWidth="1"/>
    <x:col min="11" max="11" width="2.6700000762939453" hidden="0" customWidth="1"/>
    <x:col min="12" max="12" width="17.219999313354492" hidden="0" customWidth="1"/>
    <x:col min="13" max="13" width="12.220000267028809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</x:cols>
  <x:sheetData>
    <x:row r="1" ht="30" customHeight="1">
      <x:c r="A1" s="3" t="str">
        <x:v>Fabric-link ablation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34" customHeight="1">
      <x:c r="A2" s="7" t="str">
        <x:v>All rows use the best two-state design at 0.50% per-state log-velocity uncertainty. Derived columns are live formulas.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t="str">
        <x:v>Static baseline adjusted λmin</x:v>
      </x:c>
      <x:c r="B3" s="223" t="n">
        <x:v>0.003498495204923069</x:v>
      </x:c>
    </x:row>
    <x:row r="4">
      <x:c r="L4" t="str">
        <x:v>Fabric mode</x:v>
      </x:c>
      <x:c r="M4" t="str">
        <x:v>λmin gain</x:v>
      </x:c>
    </x:row>
    <x:row r="5">
      <x:c r="A5" s="127" t="str">
        <x:v>Fabric mode</x:v>
      </x:c>
      <x:c r="B5" s="128" t="str">
        <x:v>Fabric assumption</x:v>
      </x:c>
      <x:c r="C5" s="128" t="str">
        <x:v>λmin</x:v>
      </x:c>
      <x:c r="D5" s="128" t="str">
        <x:v>λmax</x:v>
      </x:c>
      <x:c r="E5" s="128" t="str">
        <x:v>Spectral ratio</x:v>
      </x:c>
      <x:c r="F5" s="128" t="str">
        <x:v>Jacobian condition</x:v>
      </x:c>
      <x:c r="G5" s="128" t="str">
        <x:v>λmin gain</x:v>
      </x:c>
      <x:c r="H5" s="128" t="str">
        <x:v>Worst-SD reduction</x:v>
      </x:c>
      <x:c r="I5" s="128" t="str">
        <x:v>Gain retained vs shared</x:v>
      </x:c>
      <x:c r="J5" s="129" t="str">
        <x:v>Gain / expanded</x:v>
      </x:c>
      <x:c r="L5" t="str">
        <x:f>A6</x:f>
        <x:v>shared</x:v>
      </x:c>
      <x:c r="M5" t="n">
        <x:f>G6</x:f>
        <x:v>633.7761651279503</x:v>
      </x:c>
    </x:row>
    <x:row r="6">
      <x:c r="A6" s="134" t="str">
        <x:v>shared</x:v>
      </x:c>
      <x:c r="B6" s="134" t="str">
        <x:v>Nominal and compliant Cn shared</x:v>
      </x:c>
      <x:c r="C6" s="137" t="n">
        <x:v>2.2172628746946654</x:v>
      </x:c>
      <x:c r="D6" s="137" t="n">
        <x:v>26.990117747676454</x:v>
      </x:c>
      <x:c r="E6" s="224" t="n">
        <x:f>C6/D6</x:f>
        <x:v>0.08215091521360803</x:v>
      </x:c>
      <x:c r="F6" s="137" t="n">
        <x:f>SQRT(D6/C6)</x:f>
        <x:v>3.488942378575846</x:v>
      </x:c>
      <x:c r="G6" s="137" t="n">
        <x:f>C6/$B$3</x:f>
        <x:v>633.7761651279503</x:v>
      </x:c>
      <x:c r="H6" s="137" t="n">
        <x:f>SQRT(G6)</x:f>
        <x:v>25.17491142244497</x:v>
      </x:c>
      <x:c r="I6" s="227" t="n">
        <x:f>G6/$G$6</x:f>
        <x:v>1</x:v>
      </x:c>
      <x:c r="J6" s="230" t="n">
        <x:f>G6/$G$9</x:f>
        <x:v>189.12269786948204</x:v>
      </x:c>
      <x:c r="L6" t="str">
        <x:f>A7</x:f>
        <x:v>fixed</x:v>
      </x:c>
      <x:c r="M6" t="n">
        <x:f>G7</x:f>
        <x:v>402.21635195114254</x:v>
      </x:c>
    </x:row>
    <x:row r="7">
      <x:c r="A7" s="135" t="str">
        <x:v>fixed</x:v>
      </x:c>
      <x:c r="B7" s="135" t="str">
        <x:v>Compliant-contact Cn fixed (oracle)</x:v>
      </x:c>
      <x:c r="C7" s="138" t="n">
        <x:v>1.4071519786427216</x:v>
      </x:c>
      <x:c r="D7" s="138" t="n">
        <x:v>27.971401381773084</x:v>
      </x:c>
      <x:c r="E7" s="225" t="n">
        <x:f>C7/D7</x:f>
        <x:v>0.05030681013928961</x:v>
      </x:c>
      <x:c r="F7" s="138" t="n">
        <x:f>SQRT(D7/C7)</x:f>
        <x:v>4.458477813248795</x:v>
      </x:c>
      <x:c r="G7" s="138" t="n">
        <x:f>C7/$B$3</x:f>
        <x:v>402.21635195114254</x:v>
      </x:c>
      <x:c r="H7" s="138" t="n">
        <x:f>SQRT(G7)</x:f>
        <x:v>20.055332257311086</x:v>
      </x:c>
      <x:c r="I7" s="228" t="n">
        <x:f>G7/$G$6</x:f>
        <x:v>0.6346347087223465</x:v>
      </x:c>
      <x:c r="J7" s="231" t="n">
        <x:f>G7/$G$9</x:f>
        <x:v>120.02382827518306</x:v>
      </x:c>
      <x:c r="L7" t="str">
        <x:f>A8</x:f>
        <x:v>nuisance</x:v>
      </x:c>
      <x:c r="M7" t="n">
        <x:f>G8</x:f>
        <x:v>368.4325197361159</x:v>
      </x:c>
    </x:row>
    <x:row r="8">
      <x:c r="A8" s="135" t="str">
        <x:v>nuisance</x:v>
      </x:c>
      <x:c r="B8" s="135" t="str">
        <x:v>Independent compliant-contact Cn with prior</x:v>
      </x:c>
      <x:c r="C8" s="138" t="n">
        <x:v>1.2889594036345255</x:v>
      </x:c>
      <x:c r="D8" s="138" t="n">
        <x:v>22.319903232410333</x:v>
      </x:c>
      <x:c r="E8" s="225" t="n">
        <x:f>C8/D8</x:f>
        <x:v>0.05774932759398574</x:v>
      </x:c>
      <x:c r="F8" s="138" t="n">
        <x:f>SQRT(D8/C8)</x:f>
        <x:v>4.161276118641997</x:v>
      </x:c>
      <x:c r="G8" s="138" t="n">
        <x:f>C8/$B$3</x:f>
        <x:v>368.4325197361159</x:v>
      </x:c>
      <x:c r="H8" s="138" t="n">
        <x:f>SQRT(G8)</x:f>
        <x:v>19.194596107657905</x:v>
      </x:c>
      <x:c r="I8" s="228" t="n">
        <x:f>G8/$G$6</x:f>
        <x:v>0.5813290874732323</x:v>
      </x:c>
      <x:c r="J8" s="231" t="n">
        <x:f>G8/$G$9</x:f>
        <x:v>109.94252537294179</x:v>
      </x:c>
      <x:c r="L8" t="str">
        <x:f>A9</x:f>
        <x:v>expanded_nuisance</x:v>
      </x:c>
      <x:c r="M8" t="n">
        <x:f>G9</x:f>
        <x:v>3.3511375010382625</x:v>
      </x:c>
    </x:row>
    <x:row r="9">
      <x:c r="A9" s="243" t="str">
        <x:v>expanded_nuisance</x:v>
      </x:c>
      <x:c r="B9" s="244" t="str">
        <x:v>Compliant Cn, stiff Cn, and critical porosity adjusted</x:v>
      </x:c>
      <x:c r="C9" s="245" t="n">
        <x:v>0.011723938478420237</x:v>
      </x:c>
      <x:c r="D9" s="245" t="n">
        <x:v>17.487983701237702</x:v>
      </x:c>
      <x:c r="E9" s="246" t="n">
        <x:f>C9/D9</x:f>
        <x:v>0.0006703996686359264</x:v>
      </x:c>
      <x:c r="F9" s="245" t="n">
        <x:f>SQRT(D9/C9)</x:f>
        <x:v>38.62185282106152</x:v>
      </x:c>
      <x:c r="G9" s="245" t="n">
        <x:f>C9/$B$3</x:f>
        <x:v>3.3511375010382625</x:v>
      </x:c>
      <x:c r="H9" s="245" t="n">
        <x:f>SQRT(G9)</x:f>
        <x:v>1.8306112370020737</x:v>
      </x:c>
      <x:c r="I9" s="247" t="n">
        <x:f>G9/$G$6</x:f>
        <x:v>0.005287572624889918</x:v>
      </x:c>
      <x:c r="J9" s="248" t="n">
        <x:f>G9/$G$9</x:f>
        <x:v>1</x:v>
      </x:c>
    </x:row>
    <x:row r="12">
      <x:c r="A12" s="163" t="str">
        <x:v>Interpretation</x:v>
      </x:c>
      <x:c r="B12" s="163" t="str">
        <x:v>Interpretation</x:v>
      </x:c>
      <x:c r="C12" s="163" t="str">
        <x:v>Interpretation</x:v>
      </x:c>
      <x:c r="D12" s="163" t="str">
        <x:v>Interpretation</x:v>
      </x:c>
      <x:c r="E12" s="163" t="str">
        <x:v>Interpretation</x:v>
      </x:c>
      <x:c r="F12" s="163" t="str">
        <x:v>Interpretation</x:v>
      </x:c>
      <x:c r="G12" s="163" t="str">
        <x:v>Interpretation</x:v>
      </x:c>
      <x:c r="H12" s="163" t="str">
        <x:v>Interpretation</x:v>
      </x:c>
      <x:c r="I12" s="163" t="str">
        <x:v>Interpretation</x:v>
      </x:c>
      <x:c r="J12" s="163" t="str">
        <x:v>Interpretation</x:v>
      </x:c>
    </x:row>
    <x:row r="13">
      <x:c r="A13" s="183" t="str">
        <x:v>The strong 633.8× gain under shared fabric falls to 3.35× after expanding the nuisance space. The design therefore appears highly informative only when pressure-responsive fabric is linked to, fixed by, or tightly regularized around the nominal target parameters. The expanded mode is the primary conservative result.</x:v>
      </x:c>
      <x:c r="B13" s="184"/>
      <x:c r="C13" s="184"/>
      <x:c r="D13" s="184"/>
      <x:c r="E13" s="184"/>
      <x:c r="F13" s="184"/>
      <x:c r="G13" s="184"/>
      <x:c r="H13" s="184"/>
      <x:c r="I13" s="184"/>
      <x:c r="J13" s="185"/>
    </x:row>
    <x:row r="14">
      <x:c r="A14" s="186"/>
      <x:c r="B14" s="187"/>
      <x:c r="C14" s="187"/>
      <x:c r="D14" s="187"/>
      <x:c r="E14" s="187"/>
      <x:c r="F14" s="187"/>
      <x:c r="G14" s="187"/>
      <x:c r="H14" s="187"/>
      <x:c r="I14" s="187"/>
      <x:c r="J14" s="188"/>
    </x:row>
    <x:row r="15">
      <x:c r="A15" s="186"/>
      <x:c r="B15" s="187"/>
      <x:c r="C15" s="187"/>
      <x:c r="D15" s="187"/>
      <x:c r="E15" s="187"/>
      <x:c r="F15" s="187"/>
      <x:c r="G15" s="187"/>
      <x:c r="H15" s="187"/>
      <x:c r="I15" s="187"/>
      <x:c r="J15" s="188"/>
    </x:row>
    <x:row r="16">
      <x:c r="A16" s="186"/>
      <x:c r="B16" s="187"/>
      <x:c r="C16" s="187"/>
      <x:c r="D16" s="187"/>
      <x:c r="E16" s="187"/>
      <x:c r="F16" s="187"/>
      <x:c r="G16" s="187"/>
      <x:c r="H16" s="187"/>
      <x:c r="I16" s="187"/>
      <x:c r="J16" s="188"/>
    </x:row>
    <x:row r="17">
      <x:c r="A17" s="189"/>
      <x:c r="B17" s="190"/>
      <x:c r="C17" s="190"/>
      <x:c r="D17" s="190"/>
      <x:c r="E17" s="190"/>
      <x:c r="F17" s="190"/>
      <x:c r="G17" s="190"/>
      <x:c r="H17" s="190"/>
      <x:c r="I17" s="190"/>
      <x:c r="J17" s="191"/>
    </x:row>
  </x:sheetData>
  <x:mergeCells>
    <x:mergeCell ref="A1:V1"/>
    <x:mergeCell ref="A2:V2"/>
    <x:mergeCell ref="A12:J12"/>
    <x:mergeCell ref="A13:J17"/>
  </x:mergeCells>
  <x:pageMargins left="0.7" right="0.7" top="0.75" bottom="0.75" header="0.3" footer="0.3"/>
  <x:drawing xmlns:r="http://schemas.openxmlformats.org/officeDocument/2006/relationships" r:id="Rda03eeeb26af4110"/>
  <x:tableParts count="1">
    <x:tablePart xmlns:r="http://schemas.openxmlformats.org/officeDocument/2006/relationships" r:id="Rdb4afa707ecf46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2.779999732971191" hidden="0" customWidth="1"/>
    <x:col min="3" max="3" width="11.109999656677246" hidden="0" customWidth="1"/>
    <x:col min="4" max="4" width="11.109999656677246" hidden="0" customWidth="1"/>
    <x:col min="5" max="5" width="11.670000076293945" hidden="0" customWidth="1"/>
    <x:col min="6" max="6" width="11.670000076293945" hidden="0" customWidth="1"/>
    <x:col min="7" max="7" width="11.670000076293945" hidden="0" customWidth="1"/>
    <x:col min="8" max="8" width="11.670000076293945" hidden="0" customWidth="1"/>
    <x:col min="9" max="9" width="12.220000267028809" hidden="0" customWidth="1"/>
    <x:col min="10" max="10" width="12.779999732971191" hidden="0" customWidth="1"/>
    <x:col min="11" max="11" width="11.670000076293945" hidden="0" customWidth="1"/>
    <x:col min="12" max="12" width="12.220000267028809" hidden="0" customWidth="1"/>
    <x:col min="13" max="13" width="13.329999923706055" hidden="0" customWidth="1"/>
    <x:col min="14" max="14" width="11.670000076293945" hidden="0" customWidth="1"/>
    <x:col min="15" max="15" width="13.329999923706055" hidden="0" customWidth="1"/>
    <x:col min="16" max="16" width="12.779999732971191" hidden="0" customWidth="1"/>
    <x:col min="17" max="17" width="11.109999656677246" hidden="0" customWidth="1"/>
    <x:col min="18" max="18" width="10.5600004196167" hidden="0" customWidth="1"/>
    <x:col min="19" max="19" width="10.5600004196167" hidden="0" customWidth="1"/>
    <x:col min="20" max="20" width="10.5600004196167" hidden="0" customWidth="1"/>
  </x:cols>
  <x:sheetData>
    <x:row r="1" ht="30" customHeight="1">
      <x:c r="A1" s="3" t="str">
        <x:v>Finite pressure design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4" customHeight="1">
      <x:c r="A2" s="7" t="str">
        <x:v>E-optimal search over candidate pressures from 5 to 60 MPa; the 39 MPa state is the absolute reference.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>
      <x:c r="A4" s="119" t="str">
        <x:v>Primary design</x:v>
      </x:c>
      <x:c r="B4" s="119" t="str">
        <x:v>Primary design</x:v>
      </x:c>
      <x:c r="C4" s="119" t="str">
        <x:v>Primary design</x:v>
      </x:c>
      <x:c r="D4" s="119" t="str">
        <x:v>Primary design</x:v>
      </x:c>
      <x:c r="E4" s="119" t="str">
        <x:v>Primary design</x:v>
      </x:c>
      <x:c r="F4" s="119" t="str">
        <x:v>Primary design</x:v>
      </x:c>
      <x:c r="G4" s="119" t="str">
        <x:v>Primary design</x:v>
      </x:c>
      <x:c r="J4" s="155" t="str">
        <x:v>Reference (MPa)</x:v>
      </x:c>
      <x:c r="K4" s="156" t="str">
        <x:v>Best single gain</x:v>
      </x:c>
      <x:c r="L4" s="156" t="str">
        <x:v>Best pair gain</x:v>
      </x:c>
      <x:c r="M4" s="156" t="str">
        <x:v>Pair P1</x:v>
      </x:c>
      <x:c r="N4" s="157" t="str">
        <x:v>Pair P2</x:v>
      </x:c>
    </x:row>
    <x:row r="5">
      <x:c r="A5" s="127" t="str">
        <x:v>Metric</x:v>
      </x:c>
      <x:c r="B5" s="253" t="str">
        <x:v>Value</x:v>
      </x:c>
      <x:c r="C5" s="128" t="str">
        <x:v>Unit</x:v>
      </x:c>
      <x:c r="D5" s="129" t="str">
        <x:v>Audit note</x:v>
      </x:c>
      <x:c r="J5" s="158" t="n">
        <x:v>10</x:v>
      </x:c>
      <x:c r="K5" s="158" t="n">
        <x:v>2.047269783866808</x:v>
      </x:c>
      <x:c r="L5" s="158" t="n">
        <x:v>2.6763469657308474</x:v>
      </x:c>
      <x:c r="M5" s="158" t="n">
        <x:v>55</x:v>
      </x:c>
      <x:c r="N5" s="158" t="n">
        <x:v>60</x:v>
      </x:c>
    </x:row>
    <x:row r="6">
      <x:c r="A6" s="134" t="str">
        <x:v>Reference pressure</x:v>
      </x:c>
      <x:c r="B6" s="158" t="n">
        <x:v>39</x:v>
      </x:c>
      <x:c r="C6" s="134" t="str">
        <x:v>MPa</x:v>
      </x:c>
      <x:c r="D6" s="134" t="str">
        <x:v>Absolute state</x:v>
      </x:c>
      <x:c r="J6" s="159" t="n">
        <x:v>20</x:v>
      </x:c>
      <x:c r="K6" s="159" t="n">
        <x:v>1.5933010165697652</x:v>
      </x:c>
      <x:c r="L6" s="159" t="n">
        <x:v>2.2800033599469</x:v>
      </x:c>
      <x:c r="M6" s="159" t="n">
        <x:v>5</x:v>
      </x:c>
      <x:c r="N6" s="159" t="n">
        <x:v>60</x:v>
      </x:c>
    </x:row>
    <x:row r="7">
      <x:c r="A7" s="135" t="str">
        <x:v>Candidate minimum</x:v>
      </x:c>
      <x:c r="B7" s="159" t="n">
        <x:v>5</x:v>
      </x:c>
      <x:c r="C7" s="135" t="str">
        <x:v>MPa</x:v>
      </x:c>
      <x:c r="D7" s="135" t="str">
        <x:v>Finite search boundary</x:v>
      </x:c>
      <x:c r="J7" s="160" t="n">
        <x:v>39</x:v>
      </x:c>
      <x:c r="K7" s="160" t="n">
        <x:v>2.5807034988903625</x:v>
      </x:c>
      <x:c r="L7" s="160" t="n">
        <x:v>3.3511375010382625</x:v>
      </x:c>
      <x:c r="M7" s="160" t="n">
        <x:v>5</x:v>
      </x:c>
      <x:c r="N7" s="160" t="n">
        <x:v>7.5</x:v>
      </x:c>
    </x:row>
    <x:row r="8">
      <x:c r="A8" s="135" t="str">
        <x:v>Added pressure 1</x:v>
      </x:c>
      <x:c r="B8" s="159" t="n">
        <x:v>5</x:v>
      </x:c>
      <x:c r="C8" s="135" t="str">
        <x:v>MPa</x:v>
      </x:c>
      <x:c r="D8" s="135" t="str">
        <x:v>Best pair</x:v>
      </x:c>
    </x:row>
    <x:row r="9">
      <x:c r="A9" s="135" t="str">
        <x:v>Added pressure 2</x:v>
      </x:c>
      <x:c r="B9" s="159" t="n">
        <x:v>7.5</x:v>
      </x:c>
      <x:c r="C9" s="135" t="str">
        <x:v>MPa</x:v>
      </x:c>
      <x:c r="D9" s="135" t="str">
        <x:v>Best pair</x:v>
      </x:c>
    </x:row>
    <x:row r="10">
      <x:c r="A10" s="135" t="str">
        <x:v>Absolute state count</x:v>
      </x:c>
      <x:c r="B10" s="159" t="n">
        <x:f>1+2</x:f>
        <x:v>3</x:v>
      </x:c>
      <x:c r="C10" s="135" t="str">
        <x:v>states</x:v>
      </x:c>
      <x:c r="D10" s="135" t="str">
        <x:v>1 + number of added pressures</x:v>
      </x:c>
    </x:row>
    <x:row r="11">
      <x:c r="A11" s="135" t="str">
        <x:v>Pressure span</x:v>
      </x:c>
      <x:c r="B11" s="159" t="n">
        <x:f>MAX(B6,B8,B9)-MIN(B6,B8,B9)</x:f>
        <x:v>34</x:v>
      </x:c>
      <x:c r="C11" s="135" t="str">
        <x:v>MPa</x:v>
      </x:c>
      <x:c r="D11" s="135" t="str">
        <x:v>Max absolute pressure − min absolute pressure</x:v>
      </x:c>
    </x:row>
    <x:row r="12">
      <x:c r="A12" s="135" t="str">
        <x:v>Touches candidate boundary</x:v>
      </x:c>
      <x:c r="B12" s="254" t="b">
        <x:v>1</x:v>
      </x:c>
      <x:c r="C12" s="135" t="str">
        <x:v>boolean</x:v>
      </x:c>
      <x:c r="D12" s="135" t="str">
        <x:v>5 MPa is the lower tested boundary</x:v>
      </x:c>
    </x:row>
    <x:row r="13">
      <x:c r="A13" s="136" t="str">
        <x:v>Pair / single λmin</x:v>
      </x:c>
      <x:c r="B13" s="136" t="n">
        <x:v>1.2985364271715694</x:v>
      </x:c>
      <x:c r="C13" s="136" t="str">
        <x:v>ratio</x:v>
      </x:c>
      <x:c r="D13" s="136" t="str">
        <x:v>Second state adds 29.9% to λmin</x:v>
      </x:c>
    </x:row>
    <x:row r="15">
      <x:c r="A15" s="119" t="str">
        <x:v>Best designs at the primary 0.50% per-state precision</x:v>
      </x:c>
      <x:c r="B15" s="119" t="str">
        <x:v>Best designs at the primary 0.50% per-state precision</x:v>
      </x:c>
      <x:c r="C15" s="119" t="str">
        <x:v>Best designs at the primary 0.50% per-state precision</x:v>
      </x:c>
      <x:c r="D15" s="119" t="str">
        <x:v>Best designs at the primary 0.50% per-state precision</x:v>
      </x:c>
      <x:c r="E15" s="119" t="str">
        <x:v>Best designs at the primary 0.50% per-state precision</x:v>
      </x:c>
      <x:c r="F15" s="119" t="str">
        <x:v>Best designs at the primary 0.50% per-state precision</x:v>
      </x:c>
      <x:c r="G15" s="119" t="str">
        <x:v>Best designs at the primary 0.50% per-state precision</x:v>
      </x:c>
      <x:c r="H15" s="119" t="str">
        <x:v>Best designs at the primary 0.50% per-state precision</x:v>
      </x:c>
      <x:c r="I15" s="119" t="str">
        <x:v>Best designs at the primary 0.50% per-state precision</x:v>
      </x:c>
      <x:c r="J15" s="119" t="str">
        <x:v>Best designs at the primary 0.50% per-state precision</x:v>
      </x:c>
      <x:c r="K15" s="119" t="str">
        <x:v>Best designs at the primary 0.50% per-state precision</x:v>
      </x:c>
      <x:c r="L15" s="119" t="str">
        <x:v>Best designs at the primary 0.50% per-state precision</x:v>
      </x:c>
      <x:c r="M15" s="119" t="str">
        <x:v>Best designs at the primary 0.50% per-state precision</x:v>
      </x:c>
      <x:c r="N15" s="119" t="str">
        <x:v>Best designs at the primary 0.50% per-state precision</x:v>
      </x:c>
      <x:c r="O15" s="119" t="str">
        <x:v>Best designs at the primary 0.50% per-state precision</x:v>
      </x:c>
      <x:c r="P15" s="119" t="str">
        <x:v>Best designs at the primary 0.50% per-state precision</x:v>
      </x:c>
    </x:row>
    <x:row r="16">
      <x:c r="A16" s="127" t="str">
        <x:v>fabric_mode</x:v>
      </x:c>
      <x:c r="B16" s="128" t="str">
        <x:v>n_additional_pressures</x:v>
      </x:c>
      <x:c r="C16" s="128" t="str">
        <x:v>pressure_1_mpa</x:v>
      </x:c>
      <x:c r="D16" s="128" t="str">
        <x:v>pressure_2_mpa</x:v>
      </x:c>
      <x:c r="E16" s="128" t="str">
        <x:v>pressure_span_mpa</x:v>
      </x:c>
      <x:c r="F16" s="128" t="str">
        <x:v>lambda_min</x:v>
      </x:c>
      <x:c r="G16" s="128" t="str">
        <x:v>lambda_max</x:v>
      </x:c>
      <x:c r="H16" s="128" t="str">
        <x:v>spectral_ratio</x:v>
      </x:c>
      <x:c r="I16" s="128" t="str">
        <x:v>condition_number</x:v>
      </x:c>
      <x:c r="J16" s="128" t="str">
        <x:v>lambda_min_gain</x:v>
      </x:c>
      <x:c r="K16" s="128" t="str">
        <x:v>worst_sd_reduction</x:v>
      </x:c>
      <x:c r="L16" s="128" t="str">
        <x:v>determinant_gain</x:v>
      </x:c>
      <x:c r="M16" s="129" t="str">
        <x:v>strong_direction_rotation_deg</x:v>
      </x:c>
    </x:row>
    <x:row r="17">
      <x:c r="A17" s="134" t="str">
        <x:v>expanded_nuisance</x:v>
      </x:c>
      <x:c r="B17" s="134" t="n">
        <x:v>1</x:v>
      </x:c>
      <x:c r="C17" s="137" t="n">
        <x:v>5</x:v>
      </x:c>
      <x:c r="D17" s="137"/>
      <x:c r="E17" s="137" t="n">
        <x:v>34</x:v>
      </x:c>
      <x:c r="F17" s="137" t="n">
        <x:v>0.00902857881619612</x:v>
      </x:c>
      <x:c r="G17" s="137" t="n">
        <x:v>17.048720947003336</x:v>
      </x:c>
      <x:c r="H17" s="224" t="n">
        <x:v>0.0005295751419864186</x:v>
      </x:c>
      <x:c r="I17" s="137" t="n">
        <x:v>43.454644800304365</x:v>
      </x:c>
      <x:c r="J17" s="137" t="n">
        <x:v>2.5807034988903625</x:v>
      </x:c>
      <x:c r="K17" s="137" t="n">
        <x:v>1.606456815133965</x:v>
      </x:c>
      <x:c r="L17" s="137" t="n">
        <x:v>5.349195444468016</x:v>
      </x:c>
      <x:c r="M17" s="137" t="n">
        <x:v>0.21143816914158925</x:v>
      </x:c>
    </x:row>
    <x:row r="18">
      <x:c r="A18" s="135" t="str">
        <x:v>expanded_nuisance</x:v>
      </x:c>
      <x:c r="B18" s="135" t="n">
        <x:v>2</x:v>
      </x:c>
      <x:c r="C18" s="138" t="n">
        <x:v>5</x:v>
      </x:c>
      <x:c r="D18" s="138" t="n">
        <x:v>7.5</x:v>
      </x:c>
      <x:c r="E18" s="138" t="n">
        <x:v>34</x:v>
      </x:c>
      <x:c r="F18" s="138" t="n">
        <x:v>0.011723938478420237</x:v>
      </x:c>
      <x:c r="G18" s="138" t="n">
        <x:v>17.487983701237702</x:v>
      </x:c>
      <x:c r="H18" s="225" t="n">
        <x:v>0.0006703996686359264</x:v>
      </x:c>
      <x:c r="I18" s="138" t="n">
        <x:v>38.62185282106152</x:v>
      </x:c>
      <x:c r="J18" s="138" t="n">
        <x:v>3.3511375010382625</x:v>
      </x:c>
      <x:c r="K18" s="138" t="n">
        <x:v>1.8306112370020737</x:v>
      </x:c>
      <x:c r="L18" s="138" t="n">
        <x:v>7.125093056831419</x:v>
      </x:c>
      <x:c r="M18" s="138" t="n">
        <x:v>0.21326202913719514</x:v>
      </x:c>
    </x:row>
    <x:row r="19">
      <x:c r="A19" s="135" t="str">
        <x:v>fixed</x:v>
      </x:c>
      <x:c r="B19" s="135" t="n">
        <x:v>1</x:v>
      </x:c>
      <x:c r="C19" s="138" t="n">
        <x:v>5</x:v>
      </x:c>
      <x:c r="D19" s="138"/>
      <x:c r="E19" s="138" t="n">
        <x:v>34</x:v>
      </x:c>
      <x:c r="F19" s="138" t="n">
        <x:v>1.3508018414819756</x:v>
      </x:c>
      <x:c r="G19" s="138" t="n">
        <x:v>25.560856232944367</x:v>
      </x:c>
      <x:c r="H19" s="225" t="n">
        <x:v>0.05284650205656965</x:v>
      </x:c>
      <x:c r="I19" s="138" t="n">
        <x:v>4.350026241252618</x:v>
      </x:c>
      <x:c r="J19" s="138" t="n">
        <x:v>386.1093877107885</x:v>
      </x:c>
      <x:c r="K19" s="138" t="n">
        <x:v>19.649666351131476</x:v>
      </x:c>
      <x:c r="L19" s="138" t="n">
        <x:v>1199.8979512672715</x:v>
      </x:c>
      <x:c r="M19" s="138" t="n">
        <x:v>19.890967236711433</x:v>
      </x:c>
    </x:row>
    <x:row r="20">
      <x:c r="A20" s="135" t="str">
        <x:v>fixed</x:v>
      </x:c>
      <x:c r="B20" s="135" t="n">
        <x:v>2</x:v>
      </x:c>
      <x:c r="C20" s="138" t="n">
        <x:v>5</x:v>
      </x:c>
      <x:c r="D20" s="138" t="n">
        <x:v>7.5</x:v>
      </x:c>
      <x:c r="E20" s="138" t="n">
        <x:v>34</x:v>
      </x:c>
      <x:c r="F20" s="138" t="n">
        <x:v>1.4071519786427216</x:v>
      </x:c>
      <x:c r="G20" s="138" t="n">
        <x:v>27.971401381773084</x:v>
      </x:c>
      <x:c r="H20" s="225" t="n">
        <x:v>0.05030681013928961</x:v>
      </x:c>
      <x:c r="I20" s="138" t="n">
        <x:v>4.458477813248795</x:v>
      </x:c>
      <x:c r="J20" s="138" t="n">
        <x:v>402.21635195114254</x:v>
      </x:c>
      <x:c r="K20" s="138" t="n">
        <x:v>20.055332257311086</x:v>
      </x:c>
      <x:c r="L20" s="138" t="n">
        <x:v>1367.8311856426797</x:v>
      </x:c>
      <x:c r="M20" s="138" t="n">
        <x:v>20.654474378337877</x:v>
      </x:c>
    </x:row>
    <x:row r="21">
      <x:c r="A21" s="135" t="str">
        <x:v>nuisance</x:v>
      </x:c>
      <x:c r="B21" s="135" t="n">
        <x:v>1</x:v>
      </x:c>
      <x:c r="C21" s="138" t="n">
        <x:v>5</x:v>
      </x:c>
      <x:c r="D21" s="138"/>
      <x:c r="E21" s="138" t="n">
        <x:v>34</x:v>
      </x:c>
      <x:c r="F21" s="138" t="n">
        <x:v>1.2343946614930572</x:v>
      </x:c>
      <x:c r="G21" s="138" t="n">
        <x:v>20.901732963106625</x:v>
      </x:c>
      <x:c r="H21" s="225" t="n">
        <x:v>0.059057048698874445</x:v>
      </x:c>
      <x:c r="I21" s="138" t="n">
        <x:v>4.114945902285208</x:v>
      </x:c>
      <x:c r="J21" s="138" t="n">
        <x:v>352.8358877714115</x:v>
      </x:c>
      <x:c r="K21" s="138" t="n">
        <x:v>18.783926314043384</x:v>
      </x:c>
      <x:c r="L21" s="138" t="n">
        <x:v>896.6306901247945</x:v>
      </x:c>
      <x:c r="M21" s="138" t="n">
        <x:v>17.95687838305851</x:v>
      </x:c>
    </x:row>
    <x:row r="22">
      <x:c r="A22" s="135" t="str">
        <x:v>nuisance</x:v>
      </x:c>
      <x:c r="B22" s="135" t="n">
        <x:v>2</x:v>
      </x:c>
      <x:c r="C22" s="138" t="n">
        <x:v>5</x:v>
      </x:c>
      <x:c r="D22" s="138" t="n">
        <x:v>7.5</x:v>
      </x:c>
      <x:c r="E22" s="138" t="n">
        <x:v>34</x:v>
      </x:c>
      <x:c r="F22" s="138" t="n">
        <x:v>1.2889594036345255</x:v>
      </x:c>
      <x:c r="G22" s="138" t="n">
        <x:v>22.319903232410333</x:v>
      </x:c>
      <x:c r="H22" s="225" t="n">
        <x:v>0.05774932759398574</x:v>
      </x:c>
      <x:c r="I22" s="138" t="n">
        <x:v>4.161276118641997</x:v>
      </x:c>
      <x:c r="J22" s="138" t="n">
        <x:v>368.4325197361159</x:v>
      </x:c>
      <x:c r="K22" s="138" t="n">
        <x:v>19.194596107657905</x:v>
      </x:c>
      <x:c r="L22" s="138" t="n">
        <x:v>999.7900649699197</x:v>
      </x:c>
      <x:c r="M22" s="138" t="n">
        <x:v>18.672911083892576</x:v>
      </x:c>
    </x:row>
    <x:row r="23">
      <x:c r="A23" s="135" t="str">
        <x:v>shared</x:v>
      </x:c>
      <x:c r="B23" s="135" t="n">
        <x:v>1</x:v>
      </x:c>
      <x:c r="C23" s="138" t="n">
        <x:v>5</x:v>
      </x:c>
      <x:c r="D23" s="138"/>
      <x:c r="E23" s="138" t="n">
        <x:v>34</x:v>
      </x:c>
      <x:c r="F23" s="138" t="n">
        <x:v>2.1504927005030283</x:v>
      </x:c>
      <x:c r="G23" s="138" t="n">
        <x:v>24.610678066737414</x:v>
      </x:c>
      <x:c r="H23" s="225" t="n">
        <x:v>0.0873804734136736</x:v>
      </x:c>
      <x:c r="I23" s="138" t="n">
        <x:v>3.3829283792722014</x:v>
      </x:c>
      <x:c r="J23" s="138" t="n">
        <x:v>614.690766897969</x:v>
      </x:c>
      <x:c r="K23" s="138" t="n">
        <x:v>24.792958010248977</x:v>
      </x:c>
      <x:c r="L23" s="138" t="n">
        <x:v>1839.2417739509053</x:v>
      </x:c>
      <x:c r="M23" s="138" t="n">
        <x:v>25.75169209329682</x:v>
      </x:c>
    </x:row>
    <x:row r="24">
      <x:c r="A24" s="136" t="str">
        <x:v>shared</x:v>
      </x:c>
      <x:c r="B24" s="136" t="n">
        <x:v>2</x:v>
      </x:c>
      <x:c r="C24" s="139" t="n">
        <x:v>5</x:v>
      </x:c>
      <x:c r="D24" s="139" t="n">
        <x:v>7.5</x:v>
      </x:c>
      <x:c r="E24" s="139" t="n">
        <x:v>34</x:v>
      </x:c>
      <x:c r="F24" s="139" t="n">
        <x:v>2.2172628746946654</x:v>
      </x:c>
      <x:c r="G24" s="139" t="n">
        <x:v>26.990117747676454</x:v>
      </x:c>
      <x:c r="H24" s="226" t="n">
        <x:v>0.08215091521360803</x:v>
      </x:c>
      <x:c r="I24" s="139" t="n">
        <x:v>3.488942378575846</x:v>
      </x:c>
      <x:c r="J24" s="139" t="n">
        <x:v>633.7761651279503</x:v>
      </x:c>
      <x:c r="K24" s="139" t="n">
        <x:v>25.17491142244497</x:v>
      </x:c>
      <x:c r="L24" s="139" t="n">
        <x:v>2079.693022364861</x:v>
      </x:c>
      <x:c r="M24" s="139" t="n">
        <x:v>26.655262911400786</x:v>
      </x:c>
    </x:row>
    <x:row r="27">
      <x:c r="A27" s="147" t="str">
        <x:v>Trajectory-specific design control</x:v>
      </x:c>
      <x:c r="B27" s="147" t="str">
        <x:v>Trajectory-specific design control</x:v>
      </x:c>
      <x:c r="C27" s="147" t="str">
        <x:v>Trajectory-specific design control</x:v>
      </x:c>
      <x:c r="D27" s="147" t="str">
        <x:v>Trajectory-specific design control</x:v>
      </x:c>
      <x:c r="E27" s="147" t="str">
        <x:v>Trajectory-specific design control</x:v>
      </x:c>
      <x:c r="F27" s="147" t="str">
        <x:v>Trajectory-specific design control</x:v>
      </x:c>
      <x:c r="G27" s="147" t="str">
        <x:v>Trajectory-specific design control</x:v>
      </x:c>
      <x:c r="H27" s="147" t="str">
        <x:v>Trajectory-specific design control</x:v>
      </x:c>
      <x:c r="I27" s="147" t="str">
        <x:v>Trajectory-specific design control</x:v>
      </x:c>
      <x:c r="J27" s="147" t="str">
        <x:v>Trajectory-specific design control</x:v>
      </x:c>
      <x:c r="K27" s="147" t="str">
        <x:v>Trajectory-specific design control</x:v>
      </x:c>
      <x:c r="L27" s="147" t="str">
        <x:v>Trajectory-specific design control</x:v>
      </x:c>
      <x:c r="M27" s="147" t="str">
        <x:v>Trajectory-specific design control</x:v>
      </x:c>
      <x:c r="N27" s="147" t="str">
        <x:v>Trajectory-specific design control</x:v>
      </x:c>
      <x:c r="O27" s="147" t="str">
        <x:v>Trajectory-specific design control</x:v>
      </x:c>
      <x:c r="P27" s="147" t="str">
        <x:v>Trajectory-specific design control</x:v>
      </x:c>
      <x:c r="Q27" s="147" t="str">
        <x:v>Trajectory-specific design control</x:v>
      </x:c>
    </x:row>
    <x:row r="28">
      <x:c r="A28" s="155" t="str">
        <x:v>trajectory</x:v>
      </x:c>
      <x:c r="B28" s="156" t="str">
        <x:v>n_samples</x:v>
      </x:c>
      <x:c r="C28" s="156" t="str">
        <x:v>fabric_mode</x:v>
      </x:c>
      <x:c r="D28" s="156" t="str">
        <x:v>Vcem_fraction</x:v>
      </x:c>
      <x:c r="E28" s="156" t="str">
        <x:v>Cn</x:v>
      </x:c>
      <x:c r="F28" s="156" t="str">
        <x:v>pressure_1_mpa</x:v>
      </x:c>
      <x:c r="G28" s="156" t="str">
        <x:v>pressure_2_mpa</x:v>
      </x:c>
      <x:c r="H28" s="156" t="str">
        <x:v>baseline_lambda_min</x:v>
      </x:c>
      <x:c r="I28" s="156" t="str">
        <x:v>lambda_min</x:v>
      </x:c>
      <x:c r="J28" s="156" t="str">
        <x:v>lambda_max</x:v>
      </x:c>
      <x:c r="K28" s="156" t="str">
        <x:v>spectral_ratio</x:v>
      </x:c>
      <x:c r="L28" s="156" t="str">
        <x:v>condition_number</x:v>
      </x:c>
      <x:c r="M28" s="156" t="str">
        <x:v>lambda_min_gain</x:v>
      </x:c>
      <x:c r="N28" s="156" t="str">
        <x:v>worst_sd_reduction</x:v>
      </x:c>
      <x:c r="O28" s="157" t="str">
        <x:v>strong_direction_rotation_deg</x:v>
      </x:c>
    </x:row>
    <x:row r="29">
      <x:c r="A29" s="134" t="str">
        <x:v>19A</x:v>
      </x:c>
      <x:c r="B29" s="134" t="n">
        <x:v>29</x:v>
      </x:c>
      <x:c r="C29" s="134" t="str">
        <x:v>expanded_nuisance</x:v>
      </x:c>
      <x:c r="D29" s="137" t="n">
        <x:v>0.024592733574879642</x:v>
      </x:c>
      <x:c r="E29" s="137" t="n">
        <x:v>4.7029523059115945</x:v>
      </x:c>
      <x:c r="F29" s="137" t="n">
        <x:v>5</x:v>
      </x:c>
      <x:c r="G29" s="137" t="n">
        <x:v>7.5</x:v>
      </x:c>
      <x:c r="H29" s="137" t="n">
        <x:v>0.006201638026400502</x:v>
      </x:c>
      <x:c r="I29" s="137" t="n">
        <x:v>0.01663576128066513</x:v>
      </x:c>
      <x:c r="J29" s="137" t="n">
        <x:v>7.104331118902283</x:v>
      </x:c>
      <x:c r="K29" s="224" t="n">
        <x:v>0.002341636531608564</x:v>
      </x:c>
      <x:c r="L29" s="137" t="n">
        <x:v>20.6652306810642</x:v>
      </x:c>
      <x:c r="M29" s="137" t="n">
        <x:v>2.682478598371325</x:v>
      </x:c>
      <x:c r="N29" s="137" t="n">
        <x:v>1.6378274018868182</x:v>
      </x:c>
      <x:c r="O29" s="137" t="n">
        <x:v>0.6613135372887478</x:v>
      </x:c>
    </x:row>
    <x:row r="30">
      <x:c r="A30" s="136" t="str">
        <x:v>BT2</x:v>
      </x:c>
      <x:c r="B30" s="136" t="n">
        <x:v>30</x:v>
      </x:c>
      <x:c r="C30" s="136" t="str">
        <x:v>expanded_nuisance</x:v>
      </x:c>
      <x:c r="D30" s="139" t="n">
        <x:v>0.002709648210837285</x:v>
      </x:c>
      <x:c r="E30" s="139" t="n">
        <x:v>8.292355473009664</x:v>
      </x:c>
      <x:c r="F30" s="139" t="n">
        <x:v>5</x:v>
      </x:c>
      <x:c r="G30" s="139" t="n">
        <x:v>7.5</x:v>
      </x:c>
      <x:c r="H30" s="139" t="n">
        <x:v>0.00016278522457779943</x:v>
      </x:c>
      <x:c r="I30" s="139" t="n">
        <x:v>0.0004900672326542121</x:v>
      </x:c>
      <x:c r="J30" s="139" t="n">
        <x:v>216.66591216106832</x:v>
      </x:c>
      <x:c r="K30" s="226" t="n">
        <x:v>0.0000022618566426355923</x:v>
      </x:c>
      <x:c r="L30" s="139" t="n">
        <x:v>664.9170388921043</x:v>
      </x:c>
      <x:c r="M30" s="139" t="n">
        <x:v>3.0105142154348035</x:v>
      </x:c>
      <x:c r="N30" s="139" t="n">
        <x:v>1.7350833453856918</x:v>
      </x:c>
      <x:c r="O30" s="139" t="n">
        <x:v>0.002888360157926498</x:v>
      </x:c>
    </x:row>
    <x:row r="33">
      <x:c r="A33" s="256" t="str">
        <x:v>Representative operating-point sensitivity</x:v>
      </x:c>
      <x:c r="B33" s="256" t="str">
        <x:v>Representative operating-point sensitivity</x:v>
      </x:c>
      <x:c r="C33" s="256" t="str">
        <x:v>Representative operating-point sensitivity</x:v>
      </x:c>
      <x:c r="D33" s="256" t="str">
        <x:v>Representative operating-point sensitivity</x:v>
      </x:c>
      <x:c r="E33" s="256" t="str">
        <x:v>Representative operating-point sensitivity</x:v>
      </x:c>
      <x:c r="F33" s="256" t="str">
        <x:v>Representative operating-point sensitivity</x:v>
      </x:c>
      <x:c r="G33" s="256" t="str">
        <x:v>Representative operating-point sensitivity</x:v>
      </x:c>
      <x:c r="H33" s="256" t="str">
        <x:v>Representative operating-point sensitivity</x:v>
      </x:c>
      <x:c r="I33" s="256" t="str">
        <x:v>Representative operating-point sensitivity</x:v>
      </x:c>
      <x:c r="J33" s="256" t="str">
        <x:v>Representative operating-point sensitivity</x:v>
      </x:c>
      <x:c r="K33" s="256" t="str">
        <x:v>Representative operating-point sensitivity</x:v>
      </x:c>
      <x:c r="L33" s="256" t="str">
        <x:v>Representative operating-point sensitivity</x:v>
      </x:c>
      <x:c r="M33" s="256" t="str">
        <x:v>Representative operating-point sensitivity</x:v>
      </x:c>
      <x:c r="N33" s="256" t="str">
        <x:v>Representative operating-point sensitivity</x:v>
      </x:c>
      <x:c r="O33" s="256" t="str">
        <x:v>Representative operating-point sensitivity</x:v>
      </x:c>
      <x:c r="P33" s="256" t="str">
        <x:v>Representative operating-point sensitivity</x:v>
      </x:c>
    </x:row>
    <x:row r="34">
      <x:c r="A34" s="264" t="str">
        <x:v>E2_Vcem_quantile</x:v>
      </x:c>
      <x:c r="B34" s="265" t="str">
        <x:v>E2_replicate</x:v>
      </x:c>
      <x:c r="C34" s="265" t="str">
        <x:v>Vcem_fraction</x:v>
      </x:c>
      <x:c r="D34" s="265" t="str">
        <x:v>Cn</x:v>
      </x:c>
      <x:c r="E34" s="265" t="str">
        <x:v>pressure_1_mpa</x:v>
      </x:c>
      <x:c r="F34" s="265" t="str">
        <x:v>pressure_2_mpa</x:v>
      </x:c>
      <x:c r="G34" s="265" t="str">
        <x:v>baseline_lambda_min</x:v>
      </x:c>
      <x:c r="H34" s="265" t="str">
        <x:v>lambda_min</x:v>
      </x:c>
      <x:c r="I34" s="265" t="str">
        <x:v>lambda_max</x:v>
      </x:c>
      <x:c r="J34" s="265" t="str">
        <x:v>spectral_ratio</x:v>
      </x:c>
      <x:c r="K34" s="265" t="str">
        <x:v>condition_number</x:v>
      </x:c>
      <x:c r="L34" s="265" t="str">
        <x:v>lambda_min_gain</x:v>
      </x:c>
      <x:c r="M34" s="265" t="str">
        <x:v>worst_sd_reduction</x:v>
      </x:c>
      <x:c r="N34" s="266" t="str">
        <x:v>strong_direction_rotation_deg</x:v>
      </x:c>
    </x:row>
    <x:row r="35">
      <x:c r="A35" s="134" t="n">
        <x:v>0</x:v>
      </x:c>
      <x:c r="B35" s="134" t="n">
        <x:v>373</x:v>
      </x:c>
      <x:c r="C35" s="137" t="n">
        <x:v>0.001075933937318</x:v>
      </x:c>
      <x:c r="D35" s="137" t="n">
        <x:v>10.606333144956094</x:v>
      </x:c>
      <x:c r="E35" s="137" t="n">
        <x:v>5</x:v>
      </x:c>
      <x:c r="F35" s="137" t="n">
        <x:v>7.5</x:v>
      </x:c>
      <x:c r="G35" s="137" t="n">
        <x:v>0.0003520914018264598</x:v>
      </x:c>
      <x:c r="H35" s="137" t="n">
        <x:v>0.00306144255966867</x:v>
      </x:c>
      <x:c r="I35" s="137" t="n">
        <x:v>1506.546545618397</x:v>
      </x:c>
      <x:c r="J35" s="224" t="n">
        <x:v>0.0000020320929138050824</x:v>
      </x:c>
      <x:c r="K35" s="137" t="n">
        <x:v>701.5008785979431</x:v>
      </x:c>
      <x:c r="L35" s="137" t="n">
        <x:v>8.695022212378834</x:v>
      </x:c>
      <x:c r="M35" s="137" t="n">
        <x:v>2.948732305988259</x:v>
      </x:c>
      <x:c r="N35" s="137" t="n">
        <x:v>0.01091895780910299</x:v>
      </x:c>
    </x:row>
    <x:row r="36">
      <x:c r="A36" s="135" t="n">
        <x:v>0.125</x:v>
      </x:c>
      <x:c r="B36" s="135" t="n">
        <x:v>27</x:v>
      </x:c>
      <x:c r="C36" s="138" t="n">
        <x:v>0.0049718827906575</x:v>
      </x:c>
      <x:c r="D36" s="138" t="n">
        <x:v>7.281178010960367</x:v>
      </x:c>
      <x:c r="E36" s="138" t="n">
        <x:v>5</x:v>
      </x:c>
      <x:c r="F36" s="138" t="n">
        <x:v>7.5</x:v>
      </x:c>
      <x:c r="G36" s="138" t="n">
        <x:v>0.0007566390619566654</x:v>
      </x:c>
      <x:c r="H36" s="138" t="n">
        <x:v>0.0042687552663620565</x:v>
      </x:c>
      <x:c r="I36" s="138" t="n">
        <x:v>82.16541503525389</x:v>
      </x:c>
      <x:c r="J36" s="225" t="n">
        <x:v>0.000051953188145286</x:v>
      </x:c>
      <x:c r="K36" s="138" t="n">
        <x:v>138.7375108111529</x:v>
      </x:c>
      <x:c r="L36" s="138" t="n">
        <x:v>5.641732605402467</x:v>
      </x:c>
      <x:c r="M36" s="138" t="n">
        <x:v>2.3752331686389163</x:v>
      </x:c>
      <x:c r="N36" s="138" t="n">
        <x:v>0.03530495751970796</x:v>
      </x:c>
    </x:row>
    <x:row r="37">
      <x:c r="A37" s="135" t="n">
        <x:v>0.25</x:v>
      </x:c>
      <x:c r="B37" s="135" t="n">
        <x:v>191</x:v>
      </x:c>
      <x:c r="C37" s="138" t="n">
        <x:v>0.0063430129147892</x:v>
      </x:c>
      <x:c r="D37" s="138" t="n">
        <x:v>6.428914013772807</x:v>
      </x:c>
      <x:c r="E37" s="138" t="n">
        <x:v>5</x:v>
      </x:c>
      <x:c r="F37" s="138" t="n">
        <x:v>7.5</x:v>
      </x:c>
      <x:c r="G37" s="138" t="n">
        <x:v>0.0011175325542192027</x:v>
      </x:c>
      <x:c r="H37" s="138" t="n">
        <x:v>0.005474620816930731</x:v>
      </x:c>
      <x:c r="I37" s="138" t="n">
        <x:v>53.32579699906057</x:v>
      </x:c>
      <x:c r="J37" s="225" t="n">
        <x:v>0.00010266364733427568</x:v>
      </x:c>
      <x:c r="K37" s="138" t="n">
        <x:v>98.69420550761356</x:v>
      </x:c>
      <x:c r="L37" s="138" t="n">
        <x:v>4.898846835612531</x:v>
      </x:c>
      <x:c r="M37" s="138" t="n">
        <x:v>2.213333873506781</x:v>
      </x:c>
      <x:c r="N37" s="138" t="n">
        <x:v>0.04951932085551562</x:v>
      </x:c>
    </x:row>
    <x:row r="38">
      <x:c r="A38" s="135" t="n">
        <x:v>0.375</x:v>
      </x:c>
      <x:c r="B38" s="135" t="n">
        <x:v>183</x:v>
      </x:c>
      <x:c r="C38" s="138" t="n">
        <x:v>0.0077699479108195</x:v>
      </x:c>
      <x:c r="D38" s="138" t="n">
        <x:v>6.024658379759686</x:v>
      </x:c>
      <x:c r="E38" s="138" t="n">
        <x:v>5</x:v>
      </x:c>
      <x:c r="F38" s="138" t="n">
        <x:v>7.5</x:v>
      </x:c>
      <x:c r="G38" s="138" t="n">
        <x:v>0.0015573065262284302</x:v>
      </x:c>
      <x:c r="H38" s="138" t="n">
        <x:v>0.0067586013370712905</x:v>
      </x:c>
      <x:c r="I38" s="138" t="n">
        <x:v>37.575239028883644</x:v>
      </x:c>
      <x:c r="J38" s="225" t="n">
        <x:v>0.00017986848551717884</x:v>
      </x:c>
      <x:c r="K38" s="138" t="n">
        <x:v>74.56284337668835</x:v>
      </x:c>
      <x:c r="L38" s="138" t="n">
        <x:v>4.3399300158586245</x:v>
      </x:c>
      <x:c r="M38" s="138" t="n">
        <x:v>2.083249868800818</x:v>
      </x:c>
      <x:c r="N38" s="138" t="n">
        <x:v>0.07238515821764652</x:v>
      </x:c>
    </x:row>
    <x:row r="39">
      <x:c r="A39" s="135" t="n">
        <x:v>0.5</x:v>
      </x:c>
      <x:c r="B39" s="135" t="n">
        <x:v>357</x:v>
      </x:c>
      <x:c r="C39" s="138" t="n">
        <x:v>0.0092503099178009</x:v>
      </x:c>
      <x:c r="D39" s="138" t="n">
        <x:v>5.897141524742643</x:v>
      </x:c>
      <x:c r="E39" s="138" t="n">
        <x:v>5</x:v>
      </x:c>
      <x:c r="F39" s="138" t="n">
        <x:v>7.5</x:v>
      </x:c>
      <x:c r="G39" s="138" t="n">
        <x:v>0.0020606158313438705</x:v>
      </x:c>
      <x:c r="H39" s="138" t="n">
        <x:v>0.008056201699352172</x:v>
      </x:c>
      <x:c r="I39" s="138" t="n">
        <x:v>28.069721613763114</x:v>
      </x:c>
      <x:c r="J39" s="225" t="n">
        <x:v>0.0002870068257250569</x:v>
      </x:c>
      <x:c r="K39" s="138" t="n">
        <x:v>59.02743168914783</x:v>
      </x:c>
      <x:c r="L39" s="138" t="n">
        <x:v>3.909608757154003</x:v>
      </x:c>
      <x:c r="M39" s="138" t="n">
        <x:v>1.9772730608476925</x:v>
      </x:c>
      <x:c r="N39" s="138" t="n">
        <x:v>0.10607224381452493</x:v>
      </x:c>
    </x:row>
    <x:row r="40">
      <x:c r="A40" s="135" t="n">
        <x:v>0.625</x:v>
      </x:c>
      <x:c r="B40" s="135" t="n">
        <x:v>131</x:v>
      </x:c>
      <x:c r="C40" s="138" t="n">
        <x:v>0.0113815061600681</x:v>
      </x:c>
      <x:c r="D40" s="138" t="n">
        <x:v>5.56028542429779</x:v>
      </x:c>
      <x:c r="E40" s="138" t="n">
        <x:v>5</x:v>
      </x:c>
      <x:c r="F40" s="138" t="n">
        <x:v>7.5</x:v>
      </x:c>
      <x:c r="G40" s="138" t="n">
        <x:v>0.002963353736871177</x:v>
      </x:c>
      <x:c r="H40" s="138" t="n">
        <x:v>0.010399077767752729</x:v>
      </x:c>
      <x:c r="I40" s="138" t="n">
        <x:v>20.227484714567215</x:v>
      </x:c>
      <x:c r="J40" s="225" t="n">
        <x:v>0.0005141063218929851</x:v>
      </x:c>
      <x:c r="K40" s="138" t="n">
        <x:v>44.103547922939725</x:v>
      </x:c>
      <x:c r="L40" s="138" t="n">
        <x:v>3.5092259281649163</x:v>
      </x:c>
      <x:c r="M40" s="138" t="n">
        <x:v>1.8732928036388001</x:v>
      </x:c>
      <x:c r="N40" s="138" t="n">
        <x:v>0.17068587953079176</x:v>
      </x:c>
    </x:row>
    <x:row r="41">
      <x:c r="A41" s="135" t="n">
        <x:v>0.75</x:v>
      </x:c>
      <x:c r="B41" s="135" t="n">
        <x:v>233</x:v>
      </x:c>
      <x:c r="C41" s="138" t="n">
        <x:v>0.0137106087349738</x:v>
      </x:c>
      <x:c r="D41" s="138" t="n">
        <x:v>5.339413002371099</x:v>
      </x:c>
      <x:c r="E41" s="138" t="n">
        <x:v>5</x:v>
      </x:c>
      <x:c r="F41" s="138" t="n">
        <x:v>7.5</x:v>
      </x:c>
      <x:c r="G41" s="138" t="n">
        <x:v>0.004051940487979522</x:v>
      </x:c>
      <x:c r="H41" s="138" t="n">
        <x:v>0.013055366335194662</x:v>
      </x:c>
      <x:c r="I41" s="138" t="n">
        <x:v>15.404842157957276</x:v>
      </x:c>
      <x:c r="J41" s="225" t="n">
        <x:v>0.0008474845896717607</x:v>
      </x:c>
      <x:c r="K41" s="138" t="n">
        <x:v>34.35058163314637</x:v>
      </x:c>
      <x:c r="L41" s="138" t="n">
        <x:v>3.22200347560007</x:v>
      </x:c>
      <x:c r="M41" s="138" t="n">
        <x:v>1.79499400433541</x:v>
      </x:c>
      <x:c r="N41" s="138" t="n">
        <x:v>0.25960246387969205</x:v>
      </x:c>
    </x:row>
    <x:row r="42">
      <x:c r="A42" s="135" t="n">
        <x:v>0.875</x:v>
      </x:c>
      <x:c r="B42" s="135" t="n">
        <x:v>48</x:v>
      </x:c>
      <x:c r="C42" s="138" t="n">
        <x:v>0.0167441864090182</x:v>
      </x:c>
      <x:c r="D42" s="138" t="n">
        <x:v>4.990451468478011</x:v>
      </x:c>
      <x:c r="E42" s="138" t="n">
        <x:v>5</x:v>
      </x:c>
      <x:c r="F42" s="138" t="n">
        <x:v>7.5</x:v>
      </x:c>
      <x:c r="G42" s="138" t="n">
        <x:v>0.005606764212074733</x:v>
      </x:c>
      <x:c r="H42" s="138" t="n">
        <x:v>0.016844958415245692</x:v>
      </x:c>
      <x:c r="I42" s="138" t="n">
        <x:v>11.857865810855206</x:v>
      </x:c>
      <x:c r="J42" s="225" t="n">
        <x:v>0.0014205725283064922</x:v>
      </x:c>
      <x:c r="K42" s="138" t="n">
        <x:v>26.531896477020034</x:v>
      </x:c>
      <x:c r="L42" s="138" t="n">
        <x:v>3.0043992895168254</x:v>
      </x:c>
      <x:c r="M42" s="138" t="n">
        <x:v>1.7333203078245016</x:v>
      </x:c>
      <x:c r="N42" s="138" t="n">
        <x:v>0.3921384246981743</x:v>
      </x:c>
    </x:row>
    <x:row r="43">
      <x:c r="A43" s="136" t="n">
        <x:v>1</x:v>
      </x:c>
      <x:c r="B43" s="136" t="n">
        <x:v>128</x:v>
      </x:c>
      <x:c r="C43" s="139" t="n">
        <x:v>0.020885423522623</x:v>
      </x:c>
      <x:c r="D43" s="139" t="n">
        <x:v>5.043200766553914</x:v>
      </x:c>
      <x:c r="E43" s="139" t="n">
        <x:v>5</x:v>
      </x:c>
      <x:c r="F43" s="139" t="n">
        <x:v>7.5</x:v>
      </x:c>
      <x:c r="G43" s="139" t="n">
        <x:v>0.007445505781305761</x:v>
      </x:c>
      <x:c r="H43" s="139" t="n">
        <x:v>0.02057247624568337</x:v>
      </x:c>
      <x:c r="I43" s="139" t="n">
        <x:v>9.306987413230877</x:v>
      </x:c>
      <x:c r="J43" s="226" t="n">
        <x:v>0.002210433444493263</x:v>
      </x:c>
      <x:c r="K43" s="139" t="n">
        <x:v>21.269695793625544</x:v>
      </x:c>
      <x:c r="L43" s="139" t="n">
        <x:v>2.7630730335791176</x:v>
      </x:c>
      <x:c r="M43" s="139" t="n">
        <x:v>1.6622493897063453</x:v>
      </x:c>
      <x:c r="N43" s="139" t="n">
        <x:v>0.5587930888191459</x:v>
      </x:c>
    </x:row>
  </x:sheetData>
  <x:mergeCells>
    <x:mergeCell ref="A1:T1"/>
    <x:mergeCell ref="A2:T2"/>
    <x:mergeCell ref="A4:G4"/>
    <x:mergeCell ref="A15:P15"/>
    <x:mergeCell ref="A27:Q27"/>
    <x:mergeCell ref="A33:P33"/>
  </x:mergeCells>
  <x:pageMargins left="0.7" right="0.7" top="0.75" bottom="0.75" header="0.3" footer="0.3"/>
  <x:drawing xmlns:r="http://schemas.openxmlformats.org/officeDocument/2006/relationships" r:id="R9b63077757ed4af9"/>
  <x:tableParts count="5">
    <x:tablePart xmlns:r="http://schemas.openxmlformats.org/officeDocument/2006/relationships" r:id="Rb50c06056f8d4aac"/>
    <x:tablePart xmlns:r="http://schemas.openxmlformats.org/officeDocument/2006/relationships" r:id="R5b3499b9cfae4598"/>
    <x:tablePart xmlns:r="http://schemas.openxmlformats.org/officeDocument/2006/relationships" r:id="Rfd9003343c04410e"/>
    <x:tablePart xmlns:r="http://schemas.openxmlformats.org/officeDocument/2006/relationships" r:id="R2c865e96bfd14a19"/>
    <x:tablePart xmlns:r="http://schemas.openxmlformats.org/officeDocument/2006/relationships" r:id="R76f7093fb1a84c6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219999313354492" hidden="0" customWidth="1"/>
    <x:col min="2" max="2" width="13.329999923706055" hidden="0" customWidth="1"/>
    <x:col min="3" max="3" width="12.779999732971191" hidden="0" customWidth="1"/>
    <x:col min="4" max="4" width="18.889999389648438" hidden="0" customWidth="1"/>
    <x:col min="5" max="5" width="11.670000076293945" hidden="0" customWidth="1"/>
    <x:col min="6" max="6" width="11.670000076293945" hidden="0" customWidth="1"/>
    <x:col min="7" max="7" width="11.670000076293945" hidden="0" customWidth="1"/>
    <x:col min="8" max="8" width="11.670000076293945" hidden="0" customWidth="1"/>
    <x:col min="9" max="9" width="11.670000076293945" hidden="0" customWidth="1"/>
    <x:col min="10" max="10" width="12.779999732971191" hidden="0" customWidth="1"/>
    <x:col min="11" max="11" width="2.6700000762939453" hidden="0" customWidth="1"/>
    <x:col min="12" max="12" width="18.889999389648438" hidden="0" customWidth="1"/>
    <x:col min="13" max="13" width="15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</x:cols>
  <x:sheetData>
    <x:row r="1" ht="30" customHeight="1">
      <x:c r="A1" s="3" t="str">
        <x:v>Robustness and conditional design stability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4" customHeight="1">
      <x:c r="A2" s="7" t="str">
        <x:v>Trajectory-stratified 20 m moving-block bootstrap and sensitivity to operating point and block length.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>
      <x:c r="A4" s="119" t="str">
        <x:v>Bootstrap summary (400 replicates per fabric mode/design)</x:v>
      </x:c>
      <x:c r="B4" s="119" t="str">
        <x:v>Bootstrap summary (400 replicates per fabric mode/design)</x:v>
      </x:c>
      <x:c r="C4" s="119" t="str">
        <x:v>Bootstrap summary (400 replicates per fabric mode/design)</x:v>
      </x:c>
      <x:c r="D4" s="119" t="str">
        <x:v>Bootstrap summary (400 replicates per fabric mode/design)</x:v>
      </x:c>
      <x:c r="E4" s="119" t="str">
        <x:v>Bootstrap summary (400 replicates per fabric mode/design)</x:v>
      </x:c>
      <x:c r="F4" s="119" t="str">
        <x:v>Bootstrap summary (400 replicates per fabric mode/design)</x:v>
      </x:c>
      <x:c r="G4" s="119" t="str">
        <x:v>Bootstrap summary (400 replicates per fabric mode/design)</x:v>
      </x:c>
      <x:c r="H4" s="119" t="str">
        <x:v>Bootstrap summary (400 replicates per fabric mode/design)</x:v>
      </x:c>
      <x:c r="I4" s="119" t="str">
        <x:v>Bootstrap summary (400 replicates per fabric mode/design)</x:v>
      </x:c>
      <x:c r="J4" s="119" t="str">
        <x:v>Bootstrap summary (400 replicates per fabric mode/design)</x:v>
      </x:c>
      <x:c r="L4" t="str">
        <x:v>Fabric mode</x:v>
      </x:c>
      <x:c r="M4" t="str">
        <x:v>Median worst-SD reduction</x:v>
      </x:c>
    </x:row>
    <x:row r="5">
      <x:c r="A5" s="127" t="str">
        <x:v>fabric_mode</x:v>
      </x:c>
      <x:c r="B5" s="128" t="str">
        <x:v>design</x:v>
      </x:c>
      <x:c r="C5" s="128" t="str">
        <x:v>pressures_mpa</x:v>
      </x:c>
      <x:c r="D5" s="128" t="str">
        <x:v>metric</x:v>
      </x:c>
      <x:c r="E5" s="128" t="str">
        <x:v>median</x:v>
      </x:c>
      <x:c r="F5" s="128" t="str">
        <x:v>q025</x:v>
      </x:c>
      <x:c r="G5" s="128" t="str">
        <x:v>q975</x:v>
      </x:c>
      <x:c r="H5" s="128" t="str">
        <x:v>minimum</x:v>
      </x:c>
      <x:c r="I5" s="128" t="str">
        <x:v>maximum</x:v>
      </x:c>
      <x:c r="J5" s="129" t="str">
        <x:v>n</x:v>
      </x:c>
      <x:c r="L5" t="str">
        <x:v>shared</x:v>
      </x:c>
      <x:c r="M5" t="n">
        <x:f>E19</x:f>
        <x:v>25.7562989826506</x:v>
      </x:c>
    </x:row>
    <x:row r="6">
      <x:c r="A6" s="134" t="str">
        <x:v>expanded_nuisance</x:v>
      </x:c>
      <x:c r="B6" s="134" t="str">
        <x:v>best_pair</x:v>
      </x:c>
      <x:c r="C6" s="134" t="str">
        <x:v>5+7.5</x:v>
      </x:c>
      <x:c r="D6" s="134" t="str">
        <x:v>lambda_min_gain</x:v>
      </x:c>
      <x:c r="E6" s="137" t="n">
        <x:v>3.3891777172224438</x:v>
      </x:c>
      <x:c r="F6" s="137" t="n">
        <x:v>3.185714146775114</x:v>
      </x:c>
      <x:c r="G6" s="137" t="n">
        <x:v>3.5524196375053845</x:v>
      </x:c>
      <x:c r="H6" s="137" t="n">
        <x:v>2.920048502155829</x:v>
      </x:c>
      <x:c r="I6" s="137" t="n">
        <x:v>3.616172378436786</x:v>
      </x:c>
      <x:c r="J6" s="134" t="n">
        <x:v>400</x:v>
      </x:c>
      <x:c r="L6" t="str">
        <x:v>nuisance</x:v>
      </x:c>
      <x:c r="M6" t="n">
        <x:f>E13</x:f>
        <x:v>19.617453314531076</x:v>
      </x:c>
    </x:row>
    <x:row r="7">
      <x:c r="A7" s="135" t="str">
        <x:v>expanded_nuisance</x:v>
      </x:c>
      <x:c r="B7" s="135" t="str">
        <x:v>best_pair</x:v>
      </x:c>
      <x:c r="C7" s="135" t="str">
        <x:v>5+7.5</x:v>
      </x:c>
      <x:c r="D7" s="135" t="str">
        <x:v>worst_sd_reduction</x:v>
      </x:c>
      <x:c r="E7" s="138" t="n">
        <x:v>1.8409719481535873</x:v>
      </x:c>
      <x:c r="F7" s="138" t="n">
        <x:v>1.7848568645121685</x:v>
      </x:c>
      <x:c r="G7" s="138" t="n">
        <x:v>1.8847863636151678</x:v>
      </x:c>
      <x:c r="H7" s="138" t="n">
        <x:v>1.708814940874473</x:v>
      </x:c>
      <x:c r="I7" s="138" t="n">
        <x:v>1.9016236163964693</x:v>
      </x:c>
      <x:c r="J7" s="135" t="n">
        <x:v>400</x:v>
      </x:c>
      <x:c r="L7" t="str">
        <x:v>expanded_nuisance</x:v>
      </x:c>
      <x:c r="M7" t="n">
        <x:f>E7</x:f>
        <x:v>1.8409719481535873</x:v>
      </x:c>
    </x:row>
    <x:row r="8">
      <x:c r="A8" s="135" t="str">
        <x:v>expanded_nuisance</x:v>
      </x:c>
      <x:c r="B8" s="135" t="str">
        <x:v>best_pair</x:v>
      </x:c>
      <x:c r="C8" s="135" t="str">
        <x:v>5+7.5</x:v>
      </x:c>
      <x:c r="D8" s="135" t="str">
        <x:v>spectral_ratio</x:v>
      </x:c>
      <x:c r="E8" s="138" t="n">
        <x:v>0.0006471051701753116</x:v>
      </x:c>
      <x:c r="F8" s="138" t="n">
        <x:v>0.0005851758978534724</x:v>
      </x:c>
      <x:c r="G8" s="138" t="n">
        <x:v>0.000718957596582498</x:v>
      </x:c>
      <x:c r="H8" s="138" t="n">
        <x:v>0.0004943201112112887</x:v>
      </x:c>
      <x:c r="I8" s="138" t="n">
        <x:v>0.0007551135774481334</x:v>
      </x:c>
      <x:c r="J8" s="135" t="n">
        <x:v>400</x:v>
      </x:c>
    </x:row>
    <x:row r="9">
      <x:c r="A9" s="135" t="str">
        <x:v>expanded_nuisance</x:v>
      </x:c>
      <x:c r="B9" s="135" t="str">
        <x:v>best_single</x:v>
      </x:c>
      <x:c r="C9" s="135" t="n">
        <x:v>5</x:v>
      </x:c>
      <x:c r="D9" s="135" t="str">
        <x:v>lambda_min_gain</x:v>
      </x:c>
      <x:c r="E9" s="138" t="n">
        <x:v>2.6115051747873173</x:v>
      </x:c>
      <x:c r="F9" s="138" t="n">
        <x:v>2.448755428175379</x:v>
      </x:c>
      <x:c r="G9" s="138" t="n">
        <x:v>2.7346954167952418</x:v>
      </x:c>
      <x:c r="H9" s="138" t="n">
        <x:v>2.265707055965383</x:v>
      </x:c>
      <x:c r="I9" s="138" t="n">
        <x:v>2.8003398305971188</x:v>
      </x:c>
      <x:c r="J9" s="135" t="n">
        <x:v>400</x:v>
      </x:c>
    </x:row>
    <x:row r="10">
      <x:c r="A10" s="135" t="str">
        <x:v>expanded_nuisance</x:v>
      </x:c>
      <x:c r="B10" s="135" t="str">
        <x:v>best_single</x:v>
      </x:c>
      <x:c r="C10" s="135" t="n">
        <x:v>5</x:v>
      </x:c>
      <x:c r="D10" s="135" t="str">
        <x:v>worst_sd_reduction</x:v>
      </x:c>
      <x:c r="E10" s="138" t="n">
        <x:v>1.6160152146089932</x:v>
      </x:c>
      <x:c r="F10" s="138" t="n">
        <x:v>1.5648499689914959</x:v>
      </x:c>
      <x:c r="G10" s="138" t="n">
        <x:v>1.6536914423133777</x:v>
      </x:c>
      <x:c r="H10" s="138" t="n">
        <x:v>1.50522657961032</x:v>
      </x:c>
      <x:c r="I10" s="138" t="n">
        <x:v>1.6734215938002948</x:v>
      </x:c>
      <x:c r="J10" s="135" t="n">
        <x:v>400</x:v>
      </x:c>
    </x:row>
    <x:row r="11">
      <x:c r="A11" s="135" t="str">
        <x:v>expanded_nuisance</x:v>
      </x:c>
      <x:c r="B11" s="135" t="str">
        <x:v>best_single</x:v>
      </x:c>
      <x:c r="C11" s="135" t="n">
        <x:v>5</x:v>
      </x:c>
      <x:c r="D11" s="135" t="str">
        <x:v>spectral_ratio</x:v>
      </x:c>
      <x:c r="E11" s="138" t="n">
        <x:v>0.000510182289049603</x:v>
      </x:c>
      <x:c r="F11" s="138" t="n">
        <x:v>0.0004598838644452638</x:v>
      </x:c>
      <x:c r="G11" s="138" t="n">
        <x:v>0.0005693748818228956</x:v>
      </x:c>
      <x:c r="H11" s="138" t="n">
        <x:v>0.0004093875043735499</x:v>
      </x:c>
      <x:c r="I11" s="138" t="n">
        <x:v>0.0005963464936056155</x:v>
      </x:c>
      <x:c r="J11" s="135" t="n">
        <x:v>400</x:v>
      </x:c>
    </x:row>
    <x:row r="12">
      <x:c r="A12" s="135" t="str">
        <x:v>nuisance</x:v>
      </x:c>
      <x:c r="B12" s="135" t="str">
        <x:v>best_pair</x:v>
      </x:c>
      <x:c r="C12" s="135" t="str">
        <x:v>5+7.5</x:v>
      </x:c>
      <x:c r="D12" s="135" t="str">
        <x:v>lambda_min_gain</x:v>
      </x:c>
      <x:c r="E12" s="138" t="n">
        <x:v>384.84447455049775</x:v>
      </x:c>
      <x:c r="F12" s="138" t="n">
        <x:v>336.09687514831205</x:v>
      </x:c>
      <x:c r="G12" s="138" t="n">
        <x:v>435.39809502346486</x:v>
      </x:c>
      <x:c r="H12" s="138" t="n">
        <x:v>325.072934043958</x:v>
      </x:c>
      <x:c r="I12" s="138" t="n">
        <x:v>469.16099762482</x:v>
      </x:c>
      <x:c r="J12" s="135" t="n">
        <x:v>400</x:v>
      </x:c>
    </x:row>
    <x:row r="13">
      <x:c r="A13" s="135" t="str">
        <x:v>nuisance</x:v>
      </x:c>
      <x:c r="B13" s="135" t="str">
        <x:v>best_pair</x:v>
      </x:c>
      <x:c r="C13" s="135" t="str">
        <x:v>5+7.5</x:v>
      </x:c>
      <x:c r="D13" s="135" t="str">
        <x:v>worst_sd_reduction</x:v>
      </x:c>
      <x:c r="E13" s="138" t="n">
        <x:v>19.617453314531076</x:v>
      </x:c>
      <x:c r="F13" s="138" t="n">
        <x:v>18.33294445546402</x:v>
      </x:c>
      <x:c r="G13" s="138" t="n">
        <x:v>20.866194887103127</x:v>
      </x:c>
      <x:c r="H13" s="138" t="n">
        <x:v>18.029779090270573</x:v>
      </x:c>
      <x:c r="I13" s="138" t="n">
        <x:v>21.66012459855252</x:v>
      </x:c>
      <x:c r="J13" s="135" t="n">
        <x:v>400</x:v>
      </x:c>
    </x:row>
    <x:row r="14">
      <x:c r="A14" s="135" t="str">
        <x:v>nuisance</x:v>
      </x:c>
      <x:c r="B14" s="135" t="str">
        <x:v>best_pair</x:v>
      </x:c>
      <x:c r="C14" s="135" t="str">
        <x:v>5+7.5</x:v>
      </x:c>
      <x:c r="D14" s="135" t="str">
        <x:v>spectral_ratio</x:v>
      </x:c>
      <x:c r="E14" s="138" t="n">
        <x:v>0.05781273904727162</x:v>
      </x:c>
      <x:c r="F14" s="138" t="n">
        <x:v>0.05678846171881497</x:v>
      </x:c>
      <x:c r="G14" s="138" t="n">
        <x:v>0.05835569510265791</x:v>
      </x:c>
      <x:c r="H14" s="138" t="n">
        <x:v>0.0564349259014423</x:v>
      </x:c>
      <x:c r="I14" s="138" t="n">
        <x:v>0.058630131277865795</x:v>
      </x:c>
      <x:c r="J14" s="135" t="n">
        <x:v>400</x:v>
      </x:c>
    </x:row>
    <x:row r="15">
      <x:c r="A15" s="135" t="str">
        <x:v>nuisance</x:v>
      </x:c>
      <x:c r="B15" s="135" t="str">
        <x:v>best_single</x:v>
      </x:c>
      <x:c r="C15" s="135" t="n">
        <x:v>5</x:v>
      </x:c>
      <x:c r="D15" s="135" t="str">
        <x:v>lambda_min_gain</x:v>
      </x:c>
      <x:c r="E15" s="138" t="n">
        <x:v>368.5420142890264</x:v>
      </x:c>
      <x:c r="F15" s="138" t="n">
        <x:v>322.0613418918125</x:v>
      </x:c>
      <x:c r="G15" s="138" t="n">
        <x:v>416.3239780157147</x:v>
      </x:c>
      <x:c r="H15" s="138" t="n">
        <x:v>311.6789320941393</x:v>
      </x:c>
      <x:c r="I15" s="138" t="n">
        <x:v>448.933173159957</x:v>
      </x:c>
      <x:c r="J15" s="135" t="n">
        <x:v>400</x:v>
      </x:c>
    </x:row>
    <x:row r="16">
      <x:c r="A16" s="135" t="str">
        <x:v>nuisance</x:v>
      </x:c>
      <x:c r="B16" s="135" t="str">
        <x:v>best_single</x:v>
      </x:c>
      <x:c r="C16" s="135" t="n">
        <x:v>5</x:v>
      </x:c>
      <x:c r="D16" s="135" t="str">
        <x:v>worst_sd_reduction</x:v>
      </x:c>
      <x:c r="E16" s="138" t="n">
        <x:v>19.19744786579288</x:v>
      </x:c>
      <x:c r="F16" s="138" t="n">
        <x:v>17.946066827425984</x:v>
      </x:c>
      <x:c r="G16" s="138" t="n">
        <x:v>20.404017497729477</x:v>
      </x:c>
      <x:c r="H16" s="138" t="n">
        <x:v>17.65443094789915</x:v>
      </x:c>
      <x:c r="I16" s="138" t="n">
        <x:v>21.188043164954074</x:v>
      </x:c>
      <x:c r="J16" s="135" t="n">
        <x:v>400</x:v>
      </x:c>
    </x:row>
    <x:row r="17">
      <x:c r="A17" s="135" t="str">
        <x:v>nuisance</x:v>
      </x:c>
      <x:c r="B17" s="135" t="str">
        <x:v>best_single</x:v>
      </x:c>
      <x:c r="C17" s="135" t="n">
        <x:v>5</x:v>
      </x:c>
      <x:c r="D17" s="135" t="str">
        <x:v>spectral_ratio</x:v>
      </x:c>
      <x:c r="E17" s="138" t="n">
        <x:v>0.05912153717360605</x:v>
      </x:c>
      <x:c r="F17" s="138" t="n">
        <x:v>0.05835505112103102</x:v>
      </x:c>
      <x:c r="G17" s="138" t="n">
        <x:v>0.05949386262426655</x:v>
      </x:c>
      <x:c r="H17" s="138" t="n">
        <x:v>0.05794558088462653</x:v>
      </x:c>
      <x:c r="I17" s="138" t="n">
        <x:v>0.05971893371984355</x:v>
      </x:c>
      <x:c r="J17" s="135" t="n">
        <x:v>400</x:v>
      </x:c>
    </x:row>
    <x:row r="18">
      <x:c r="A18" s="135" t="str">
        <x:v>shared</x:v>
      </x:c>
      <x:c r="B18" s="135" t="str">
        <x:v>best_pair</x:v>
      </x:c>
      <x:c r="C18" s="135" t="str">
        <x:v>5+7.5</x:v>
      </x:c>
      <x:c r="D18" s="135" t="str">
        <x:v>lambda_min_gain</x:v>
      </x:c>
      <x:c r="E18" s="138" t="n">
        <x:v>663.3869552487984</x:v>
      </x:c>
      <x:c r="F18" s="138" t="n">
        <x:v>573.2385261204298</x:v>
      </x:c>
      <x:c r="G18" s="138" t="n">
        <x:v>759.052746714041</x:v>
      </x:c>
      <x:c r="H18" s="138" t="n">
        <x:v>550.8373374180178</x:v>
      </x:c>
      <x:c r="I18" s="138" t="n">
        <x:v>808.8451579735039</x:v>
      </x:c>
      <x:c r="J18" s="135" t="n">
        <x:v>400</x:v>
      </x:c>
    </x:row>
    <x:row r="19">
      <x:c r="A19" s="135" t="str">
        <x:v>shared</x:v>
      </x:c>
      <x:c r="B19" s="135" t="str">
        <x:v>best_pair</x:v>
      </x:c>
      <x:c r="C19" s="135" t="str">
        <x:v>5+7.5</x:v>
      </x:c>
      <x:c r="D19" s="135" t="str">
        <x:v>worst_sd_reduction</x:v>
      </x:c>
      <x:c r="E19" s="138" t="n">
        <x:v>25.7562989826506</x:v>
      </x:c>
      <x:c r="F19" s="138" t="n">
        <x:v>23.942400173950414</x:v>
      </x:c>
      <x:c r="G19" s="138" t="n">
        <x:v>27.550911722007005</x:v>
      </x:c>
      <x:c r="H19" s="138" t="n">
        <x:v>23.469924103371486</x:v>
      </x:c>
      <x:c r="I19" s="138" t="n">
        <x:v>28.440203198526973</x:v>
      </x:c>
      <x:c r="J19" s="135" t="n">
        <x:v>400</x:v>
      </x:c>
    </x:row>
    <x:row r="20">
      <x:c r="A20" s="135" t="str">
        <x:v>shared</x:v>
      </x:c>
      <x:c r="B20" s="135" t="str">
        <x:v>best_pair</x:v>
      </x:c>
      <x:c r="C20" s="135" t="str">
        <x:v>5+7.5</x:v>
      </x:c>
      <x:c r="D20" s="135" t="str">
        <x:v>spectral_ratio</x:v>
      </x:c>
      <x:c r="E20" s="138" t="n">
        <x:v>0.08238700621387303</x:v>
      </x:c>
      <x:c r="F20" s="138" t="n">
        <x:v>0.07935799924359656</x:v>
      </x:c>
      <x:c r="G20" s="138" t="n">
        <x:v>0.08470949107574943</x:v>
      </x:c>
      <x:c r="H20" s="138" t="n">
        <x:v>0.0785045657817046</x:v>
      </x:c>
      <x:c r="I20" s="138" t="n">
        <x:v>0.08542268201134644</x:v>
      </x:c>
      <x:c r="J20" s="135" t="n">
        <x:v>400</x:v>
      </x:c>
    </x:row>
    <x:row r="21">
      <x:c r="A21" s="135" t="str">
        <x:v>shared</x:v>
      </x:c>
      <x:c r="B21" s="135" t="str">
        <x:v>best_single</x:v>
      </x:c>
      <x:c r="C21" s="135" t="n">
        <x:v>5</x:v>
      </x:c>
      <x:c r="D21" s="135" t="str">
        <x:v>lambda_min_gain</x:v>
      </x:c>
      <x:c r="E21" s="138" t="n">
        <x:v>642.955203563703</x:v>
      </x:c>
      <x:c r="F21" s="138" t="n">
        <x:v>557.3426049580049</x:v>
      </x:c>
      <x:c r="G21" s="138" t="n">
        <x:v>734.1464171245563</x:v>
      </x:c>
      <x:c r="H21" s="138" t="n">
        <x:v>535.6655567198862</x:v>
      </x:c>
      <x:c r="I21" s="138" t="n">
        <x:v>783.6705516780045</x:v>
      </x:c>
      <x:c r="J21" s="135" t="n">
        <x:v>400</x:v>
      </x:c>
    </x:row>
    <x:row r="22">
      <x:c r="A22" s="135" t="str">
        <x:v>shared</x:v>
      </x:c>
      <x:c r="B22" s="135" t="str">
        <x:v>best_single</x:v>
      </x:c>
      <x:c r="C22" s="135" t="n">
        <x:v>5</x:v>
      </x:c>
      <x:c r="D22" s="135" t="str">
        <x:v>worst_sd_reduction</x:v>
      </x:c>
      <x:c r="E22" s="138" t="n">
        <x:v>25.3565613280767</x:v>
      </x:c>
      <x:c r="F22" s="138" t="n">
        <x:v>23.608104527665752</x:v>
      </x:c>
      <x:c r="G22" s="138" t="n">
        <x:v>27.095135300579216</x:v>
      </x:c>
      <x:c r="H22" s="138" t="n">
        <x:v>23.144449803784195</x:v>
      </x:c>
      <x:c r="I22" s="138" t="n">
        <x:v>27.994116376088822</x:v>
      </x:c>
      <x:c r="J22" s="135" t="n">
        <x:v>400</x:v>
      </x:c>
    </x:row>
    <x:row r="23">
      <x:c r="A23" s="136" t="str">
        <x:v>shared</x:v>
      </x:c>
      <x:c r="B23" s="136" t="str">
        <x:v>best_single</x:v>
      </x:c>
      <x:c r="C23" s="136" t="n">
        <x:v>5</x:v>
      </x:c>
      <x:c r="D23" s="136" t="str">
        <x:v>spectral_ratio</x:v>
      </x:c>
      <x:c r="E23" s="139" t="n">
        <x:v>0.08762246107064615</x:v>
      </x:c>
      <x:c r="F23" s="139" t="n">
        <x:v>0.08482808357408227</x:v>
      </x:c>
      <x:c r="G23" s="139" t="n">
        <x:v>0.08967072424465179</x:v>
      </x:c>
      <x:c r="H23" s="139" t="n">
        <x:v>0.08387964263992513</x:v>
      </x:c>
      <x:c r="I23" s="139" t="n">
        <x:v>0.09035221999036117</x:v>
      </x:c>
      <x:c r="J23" s="136" t="n">
        <x:v>400</x:v>
      </x:c>
    </x:row>
    <x:row r="26">
      <x:c r="A26" s="147" t="str">
        <x:v>Conditional re-optimization by block length</x:v>
      </x:c>
      <x:c r="B26" s="147" t="str">
        <x:v>Conditional re-optimization by block length</x:v>
      </x:c>
      <x:c r="C26" s="147" t="str">
        <x:v>Conditional re-optimization by block length</x:v>
      </x:c>
      <x:c r="D26" s="147" t="str">
        <x:v>Conditional re-optimization by block length</x:v>
      </x:c>
      <x:c r="E26" s="147" t="str">
        <x:v>Conditional re-optimization by block length</x:v>
      </x:c>
      <x:c r="F26" s="147" t="str">
        <x:v>Conditional re-optimization by block length</x:v>
      </x:c>
      <x:c r="G26" s="147" t="str">
        <x:v>Conditional re-optimization by block length</x:v>
      </x:c>
      <x:c r="H26" s="147" t="str">
        <x:v>Conditional re-optimization by block length</x:v>
      </x:c>
      <x:c r="I26" s="147" t="str">
        <x:v>Conditional re-optimization by block length</x:v>
      </x:c>
    </x:row>
    <x:row r="27">
      <x:c r="A27" s="155" t="str">
        <x:v>Block length (samples)</x:v>
      </x:c>
      <x:c r="B27" s="156" t="str">
        <x:v>Approx. block length (m)</x:v>
      </x:c>
      <x:c r="C27" s="156" t="str">
        <x:v>Replicates</x:v>
      </x:c>
      <x:c r="D27" s="156" t="str">
        <x:v>Full-pair selection frequency</x:v>
      </x:c>
      <x:c r="E27" s="156" t="str">
        <x:v>Median regret</x:v>
      </x:c>
      <x:c r="F27" s="157" t="str">
        <x:v>Maximum regret</x:v>
      </x:c>
    </x:row>
    <x:row r="28">
      <x:c r="A28" s="134" t="n">
        <x:v>10</x:v>
      </x:c>
      <x:c r="B28" s="134" t="n">
        <x:v>40</x:v>
      </x:c>
      <x:c r="C28" s="134" t="n">
        <x:v>100</x:v>
      </x:c>
      <x:c r="D28" s="227" t="n">
        <x:v>1</x:v>
      </x:c>
      <x:c r="E28" s="227" t="n">
        <x:v>0</x:v>
      </x:c>
      <x:c r="F28" s="227" t="n">
        <x:v>0</x:v>
      </x:c>
    </x:row>
    <x:row r="29">
      <x:c r="A29" s="135" t="n">
        <x:v>3</x:v>
      </x:c>
      <x:c r="B29" s="135" t="n">
        <x:v>12</x:v>
      </x:c>
      <x:c r="C29" s="135" t="n">
        <x:v>100</x:v>
      </x:c>
      <x:c r="D29" s="228" t="n">
        <x:v>1</x:v>
      </x:c>
      <x:c r="E29" s="228" t="n">
        <x:v>0</x:v>
      </x:c>
      <x:c r="F29" s="228" t="n">
        <x:v>0</x:v>
      </x:c>
    </x:row>
    <x:row r="30">
      <x:c r="A30" s="136" t="n">
        <x:v>5</x:v>
      </x:c>
      <x:c r="B30" s="136" t="n">
        <x:v>20</x:v>
      </x:c>
      <x:c r="C30" s="136" t="n">
        <x:v>100</x:v>
      </x:c>
      <x:c r="D30" s="229" t="n">
        <x:v>1</x:v>
      </x:c>
      <x:c r="E30" s="229" t="n">
        <x:v>0</x:v>
      </x:c>
      <x:c r="F30" s="229" t="n">
        <x:v>0</x:v>
      </x:c>
    </x:row>
    <x:row r="33">
      <x:c r="A33" s="256" t="str">
        <x:v>Reference-pressure and trajectory controls</x:v>
      </x:c>
      <x:c r="B33" s="256" t="str">
        <x:v>Reference-pressure and trajectory controls</x:v>
      </x:c>
      <x:c r="C33" s="256" t="str">
        <x:v>Reference-pressure and trajectory controls</x:v>
      </x:c>
      <x:c r="D33" s="256" t="str">
        <x:v>Reference-pressure and trajectory controls</x:v>
      </x:c>
      <x:c r="E33" s="256" t="str">
        <x:v>Reference-pressure and trajectory controls</x:v>
      </x:c>
      <x:c r="F33" s="256" t="str">
        <x:v>Reference-pressure and trajectory controls</x:v>
      </x:c>
      <x:c r="G33" s="256" t="str">
        <x:v>Reference-pressure and trajectory controls</x:v>
      </x:c>
      <x:c r="H33" s="256" t="str">
        <x:v>Reference-pressure and trajectory controls</x:v>
      </x:c>
      <x:c r="I33" s="256" t="str">
        <x:v>Reference-pressure and trajectory controls</x:v>
      </x:c>
      <x:c r="J33" s="256" t="str">
        <x:v>Reference-pressure and trajectory controls</x:v>
      </x:c>
      <x:c r="K33" s="256" t="str">
        <x:v>Reference-pressure and trajectory controls</x:v>
      </x:c>
      <x:c r="L33" s="256" t="str">
        <x:v>Reference-pressure and trajectory controls</x:v>
      </x:c>
      <x:c r="M33" s="256" t="str">
        <x:v>Reference-pressure and trajectory controls</x:v>
      </x:c>
      <x:c r="N33" s="256" t="str">
        <x:v>Reference-pressure and trajectory controls</x:v>
      </x:c>
      <x:c r="O33" s="256" t="str">
        <x:v>Reference-pressure and trajectory controls</x:v>
      </x:c>
      <x:c r="P33" s="256" t="str">
        <x:v>Reference-pressure and trajectory controls</x:v>
      </x:c>
      <x:c r="Q33" s="256" t="str">
        <x:v>Reference-pressure and trajectory controls</x:v>
      </x:c>
    </x:row>
    <x:row r="34">
      <x:c r="A34" s="264" t="str">
        <x:v>Control</x:v>
      </x:c>
      <x:c r="B34" s="265" t="str">
        <x:v>State</x:v>
      </x:c>
      <x:c r="C34" s="265" t="str">
        <x:v>n</x:v>
      </x:c>
      <x:c r="D34" s="265" t="str">
        <x:v>Vcem fraction</x:v>
      </x:c>
      <x:c r="E34" s="265" t="str">
        <x:v>Cn</x:v>
      </x:c>
      <x:c r="F34" s="265" t="str">
        <x:v>P1 (MPa)</x:v>
      </x:c>
      <x:c r="G34" s="265" t="str">
        <x:v>P2 (MPa)</x:v>
      </x:c>
      <x:c r="H34" s="265" t="str">
        <x:v>Gain / low</x:v>
      </x:c>
      <x:c r="I34" s="265" t="str">
        <x:v>Worst-SD / high</x:v>
      </x:c>
      <x:c r="J34" s="266" t="str">
        <x:v>Spectral ratio / selection freq.</x:v>
      </x:c>
    </x:row>
    <x:row r="35">
      <x:c r="A35" s="134" t="str">
        <x:v>trajectory</x:v>
      </x:c>
      <x:c r="B35" s="134" t="str">
        <x:v>19A</x:v>
      </x:c>
      <x:c r="C35" s="134" t="n">
        <x:v>29</x:v>
      </x:c>
      <x:c r="D35" s="137" t="n">
        <x:v>0.0245927335748796</x:v>
      </x:c>
      <x:c r="E35" s="137" t="n">
        <x:v>4.7029523059115945</x:v>
      </x:c>
      <x:c r="F35" s="137" t="n">
        <x:v>5</x:v>
      </x:c>
      <x:c r="G35" s="137" t="n">
        <x:v>7.5</x:v>
      </x:c>
      <x:c r="H35" s="137" t="n">
        <x:v>2.682478598371325</x:v>
      </x:c>
      <x:c r="I35" s="137" t="n">
        <x:v>1.6378274018868182</x:v>
      </x:c>
      <x:c r="J35" s="137" t="n">
        <x:v>0.0023416365316085</x:v>
      </x:c>
    </x:row>
    <x:row r="36">
      <x:c r="A36" s="135" t="str">
        <x:v>trajectory</x:v>
      </x:c>
      <x:c r="B36" s="135" t="str">
        <x:v>BT2</x:v>
      </x:c>
      <x:c r="C36" s="135" t="n">
        <x:v>30</x:v>
      </x:c>
      <x:c r="D36" s="138" t="n">
        <x:v>0.0027096482108372</x:v>
      </x:c>
      <x:c r="E36" s="138" t="n">
        <x:v>8.292355473009664</x:v>
      </x:c>
      <x:c r="F36" s="138" t="n">
        <x:v>5</x:v>
      </x:c>
      <x:c r="G36" s="138" t="n">
        <x:v>7.5</x:v>
      </x:c>
      <x:c r="H36" s="138" t="n">
        <x:v>3.0105142154348035</x:v>
      </x:c>
      <x:c r="I36" s="138" t="n">
        <x:v>1.7350833453856918</x:v>
      </x:c>
      <x:c r="J36" s="138" t="n">
        <x:v>0.0000022618566426355923</x:v>
      </x:c>
    </x:row>
    <x:row r="37">
      <x:c r="A37" s="136" t="str">
        <x:v>operating-point ensemble</x:v>
      </x:c>
      <x:c r="B37" s="136" t="str">
        <x:v>9 representative E2 points</x:v>
      </x:c>
      <x:c r="C37" s="136" t="n">
        <x:v>9</x:v>
      </x:c>
      <x:c r="D37" s="139"/>
      <x:c r="E37" s="139"/>
      <x:c r="F37" s="139" t="n">
        <x:v>5</x:v>
      </x:c>
      <x:c r="G37" s="139" t="n">
        <x:v>7.5</x:v>
      </x:c>
      <x:c r="H37" s="139" t="n">
        <x:v>2.7630730335791176</x:v>
      </x:c>
      <x:c r="I37" s="139" t="n">
        <x:v>8.695022212378834</x:v>
      </x:c>
      <x:c r="J37" s="139" t="n">
        <x:v>1</x:v>
      </x:c>
    </x:row>
    <x:row r="40">
      <x:c r="A40" s="163" t="str">
        <x:v>Interpretation</x:v>
      </x:c>
      <x:c r="B40" s="163" t="str">
        <x:v>Interpretation</x:v>
      </x:c>
      <x:c r="C40" s="163" t="str">
        <x:v>Interpretation</x:v>
      </x:c>
      <x:c r="D40" s="163" t="str">
        <x:v>Interpretation</x:v>
      </x:c>
      <x:c r="E40" s="163" t="str">
        <x:v>Interpretation</x:v>
      </x:c>
      <x:c r="F40" s="163" t="str">
        <x:v>Interpretation</x:v>
      </x:c>
      <x:c r="G40" s="163" t="str">
        <x:v>Interpretation</x:v>
      </x:c>
      <x:c r="H40" s="163" t="str">
        <x:v>Interpretation</x:v>
      </x:c>
      <x:c r="I40" s="163" t="str">
        <x:v>Interpretation</x:v>
      </x:c>
      <x:c r="J40" s="163" t="str">
        <x:v>Interpretation</x:v>
      </x:c>
    </x:row>
    <x:row r="41">
      <x:c r="A41" s="183" t="str">
        <x:v>The selected pair is stable under conditional re-optimization and across the representative E2 operating points that remain inside the convex validity domain. That stability does not remove the model-form limitation: the bootstrap is conditional on two Hugin trajectories and does not recalibrate the prospective pressure extension.</x:v>
      </x:c>
      <x:c r="B41" s="184"/>
      <x:c r="C41" s="184"/>
      <x:c r="D41" s="184"/>
      <x:c r="E41" s="184"/>
      <x:c r="F41" s="184"/>
      <x:c r="G41" s="184"/>
      <x:c r="H41" s="184"/>
      <x:c r="I41" s="184"/>
      <x:c r="J41" s="185"/>
    </x:row>
    <x:row r="42">
      <x:c r="A42" s="186"/>
      <x:c r="B42" s="187"/>
      <x:c r="C42" s="187"/>
      <x:c r="D42" s="187"/>
      <x:c r="E42" s="187"/>
      <x:c r="F42" s="187"/>
      <x:c r="G42" s="187"/>
      <x:c r="H42" s="187"/>
      <x:c r="I42" s="187"/>
      <x:c r="J42" s="188"/>
    </x:row>
    <x:row r="43">
      <x:c r="A43" s="186"/>
      <x:c r="B43" s="187"/>
      <x:c r="C43" s="187"/>
      <x:c r="D43" s="187"/>
      <x:c r="E43" s="187"/>
      <x:c r="F43" s="187"/>
      <x:c r="G43" s="187"/>
      <x:c r="H43" s="187"/>
      <x:c r="I43" s="187"/>
      <x:c r="J43" s="188"/>
    </x:row>
    <x:row r="44">
      <x:c r="A44" s="189"/>
      <x:c r="B44" s="190"/>
      <x:c r="C44" s="190"/>
      <x:c r="D44" s="190"/>
      <x:c r="E44" s="190"/>
      <x:c r="F44" s="190"/>
      <x:c r="G44" s="190"/>
      <x:c r="H44" s="190"/>
      <x:c r="I44" s="190"/>
      <x:c r="J44" s="191"/>
    </x:row>
  </x:sheetData>
  <x:mergeCells>
    <x:mergeCell ref="A1:T1"/>
    <x:mergeCell ref="A2:T2"/>
    <x:mergeCell ref="A4:J4"/>
    <x:mergeCell ref="A26:I26"/>
    <x:mergeCell ref="A33:Q33"/>
    <x:mergeCell ref="A40:J40"/>
    <x:mergeCell ref="A41:J44"/>
  </x:mergeCells>
  <x:pageMargins left="0.7" right="0.7" top="0.75" bottom="0.75" header="0.3" footer="0.3"/>
  <x:drawing xmlns:r="http://schemas.openxmlformats.org/officeDocument/2006/relationships" r:id="R8ddfe0fbc6bc43b7"/>
  <x:tableParts count="3">
    <x:tablePart xmlns:r="http://schemas.openxmlformats.org/officeDocument/2006/relationships" r:id="R8c371d450912427b"/>
    <x:tablePart xmlns:r="http://schemas.openxmlformats.org/officeDocument/2006/relationships" r:id="R67c79325d46744cd"/>
    <x:tablePart xmlns:r="http://schemas.openxmlformats.org/officeDocument/2006/relationships" r:id="R565f1df8cd8c44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440000534057617" hidden="0" customWidth="1"/>
    <x:col min="2" max="2" width="13.329999923706055" hidden="0" customWidth="1"/>
    <x:col min="3" max="3" width="12.220000267028809" hidden="0" customWidth="1"/>
    <x:col min="4" max="4" width="13.329999923706055" hidden="0" customWidth="1"/>
    <x:col min="5" max="5" width="13.329999923706055" hidden="0" customWidth="1"/>
    <x:col min="6" max="6" width="12.779999732971191" hidden="0" customWidth="1"/>
    <x:col min="7" max="7" width="12.779999732971191" hidden="0" customWidth="1"/>
    <x:col min="8" max="8" width="13.890000343322754" hidden="0" customWidth="1"/>
    <x:col min="9" max="9" width="13.890000343322754" hidden="0" customWidth="1"/>
    <x:col min="10" max="10" width="2.6700000762939453" hidden="0" customWidth="1"/>
    <x:col min="11" max="11" width="15.5600004196167" hidden="0" customWidth="1"/>
    <x:col min="12" max="12" width="13.890000343322754" hidden="0" customWidth="1"/>
    <x:col min="13" max="13" width="12.220000267028809" hidden="0" customWidth="1"/>
    <x:col min="14" max="14" width="12.220000267028809" hidden="0" customWidth="1"/>
    <x:col min="15" max="15" width="12.220000267028809" hidden="0" customWidth="1"/>
    <x:col min="16" max="16" width="12.220000267028809" hidden="0" customWidth="1"/>
    <x:col min="17" max="17" width="12.220000267028809" hidden="0" customWidth="1"/>
    <x:col min="18" max="18" width="12.220000267028809" hidden="0" customWidth="1"/>
    <x:col min="19" max="19" width="13.329999923706055" hidden="0" customWidth="1"/>
    <x:col min="20" max="20" width="11.670000076293945" hidden="0" customWidth="1"/>
  </x:cols>
  <x:sheetData>
    <x:row r="1" ht="30" customHeight="1">
      <x:c r="A1" s="3" t="str">
        <x:v>Model discrepancy and falsification controls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4" customHeight="1">
      <x:c r="A2" s="7" t="str">
        <x:v>The design must add a direction that survives both nuisance adjustment and plausible model-error directions.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>
      <x:c r="A4" s="119" t="str">
        <x:v>Generic trajectory discrepancy: full three-term basis</x:v>
      </x:c>
      <x:c r="B4" s="119" t="str">
        <x:v>Generic trajectory discrepancy: full three-term basis</x:v>
      </x:c>
      <x:c r="C4" s="119" t="str">
        <x:v>Generic trajectory discrepancy: full three-term basis</x:v>
      </x:c>
      <x:c r="D4" s="119" t="str">
        <x:v>Generic trajectory discrepancy: full three-term basis</x:v>
      </x:c>
      <x:c r="E4" s="119" t="str">
        <x:v>Generic trajectory discrepancy: full three-term basis</x:v>
      </x:c>
      <x:c r="F4" s="119" t="str">
        <x:v>Generic trajectory discrepancy: full three-term basis</x:v>
      </x:c>
      <x:c r="G4" s="119" t="str">
        <x:v>Generic trajectory discrepancy: full three-term basis</x:v>
      </x:c>
      <x:c r="H4" s="119" t="str">
        <x:v>Generic trajectory discrepancy: full three-term basis</x:v>
      </x:c>
      <x:c r="I4" s="119" t="str">
        <x:v>Generic trajectory discrepancy: full three-term basis</x:v>
      </x:c>
      <x:c r="K4" s="147" t="str">
        <x:v>Target-aligned discrepancy</x:v>
      </x:c>
      <x:c r="L4" s="147" t="str">
        <x:v>Target-aligned discrepancy</x:v>
      </x:c>
      <x:c r="M4" s="147" t="str">
        <x:v>Target-aligned discrepancy</x:v>
      </x:c>
      <x:c r="N4" s="147" t="str">
        <x:v>Target-aligned discrepancy</x:v>
      </x:c>
      <x:c r="O4" s="147" t="str">
        <x:v>Target-aligned discrepancy</x:v>
      </x:c>
      <x:c r="P4" s="147" t="str">
        <x:v>Target-aligned discrepancy</x:v>
      </x:c>
      <x:c r="Q4" s="147" t="str">
        <x:v>Target-aligned discrepancy</x:v>
      </x:c>
      <x:c r="R4" s="147" t="str">
        <x:v>Target-aligned discrepancy</x:v>
      </x:c>
      <x:c r="S4" s="147" t="str">
        <x:v>Target-aligned discrepancy</x:v>
      </x:c>
      <x:c r="T4" s="147" t="str">
        <x:v>Target-aligned discrepancy</x:v>
      </x:c>
    </x:row>
    <x:row r="5">
      <x:c r="A5" s="127" t="str">
        <x:v>trajectory_discrepancy_percent</x:v>
      </x:c>
      <x:c r="B5" s="128" t="str">
        <x:v>n_basis_terms</x:v>
      </x:c>
      <x:c r="C5" s="128" t="str">
        <x:v>lambda_min</x:v>
      </x:c>
      <x:c r="D5" s="128" t="str">
        <x:v>lambda_max</x:v>
      </x:c>
      <x:c r="E5" s="128" t="str">
        <x:v>spectral_ratio</x:v>
      </x:c>
      <x:c r="F5" s="128" t="str">
        <x:v>condition_number</x:v>
      </x:c>
      <x:c r="G5" s="128" t="str">
        <x:v>lambda_min_gain</x:v>
      </x:c>
      <x:c r="H5" s="128" t="str">
        <x:v>worst_sd_reduction</x:v>
      </x:c>
      <x:c r="I5" s="129" t="str">
        <x:v>strong_direction_rotation_deg</x:v>
      </x:c>
      <x:c r="K5" s="155" t="str">
        <x:v>target_aligned_discrepancy_percent_rms</x:v>
      </x:c>
      <x:c r="L5" s="156" t="str">
        <x:v>raw_alignment_rms_per_scaled_parameter</x:v>
      </x:c>
      <x:c r="M5" s="156" t="str">
        <x:v>lambda_min</x:v>
      </x:c>
      <x:c r="N5" s="156" t="str">
        <x:v>lambda_max</x:v>
      </x:c>
      <x:c r="O5" s="156" t="str">
        <x:v>spectral_ratio</x:v>
      </x:c>
      <x:c r="P5" s="156" t="str">
        <x:v>condition_number</x:v>
      </x:c>
      <x:c r="Q5" s="156" t="str">
        <x:v>lambda_min_gain</x:v>
      </x:c>
      <x:c r="R5" s="156" t="str">
        <x:v>worst_sd_reduction</x:v>
      </x:c>
      <x:c r="S5" s="157" t="str">
        <x:v>strong_direction_rotation_deg</x:v>
      </x:c>
    </x:row>
    <x:row r="6">
      <x:c r="A6" s="137" t="n">
        <x:v>0</x:v>
      </x:c>
      <x:c r="B6" s="137" t="n">
        <x:v>3</x:v>
      </x:c>
      <x:c r="C6" s="137" t="n">
        <x:v>0.06024682763187972</x:v>
      </x:c>
      <x:c r="D6" s="137" t="n">
        <x:v>19.774833259868394</x:v>
      </x:c>
      <x:c r="E6" s="224" t="n">
        <x:v>0.0030466414983203087</x:v>
      </x:c>
      <x:c r="F6" s="137" t="n">
        <x:v>18.11712677574315</x:v>
      </x:c>
      <x:c r="G6" s="137" t="n">
        <x:v>17.220783251925177</x:v>
      </x:c>
      <x:c r="H6" s="137" t="n">
        <x:v>4.149793157727886</x:v>
      </x:c>
      <x:c r="I6" s="137" t="n">
        <x:v>0.5909590998460903</x:v>
      </x:c>
      <x:c r="K6" s="137" t="n">
        <x:v>0</x:v>
      </x:c>
      <x:c r="L6" s="137" t="n">
        <x:v>0.0002851424639912598</x:v>
      </x:c>
      <x:c r="M6" s="137" t="n">
        <x:v>0.011723938478420237</x:v>
      </x:c>
      <x:c r="N6" s="137" t="n">
        <x:v>17.487983701237702</x:v>
      </x:c>
      <x:c r="O6" s="224" t="n">
        <x:v>0.0006703996686359264</x:v>
      </x:c>
      <x:c r="P6" s="137" t="n">
        <x:v>38.62185282106152</x:v>
      </x:c>
      <x:c r="Q6" s="137" t="n">
        <x:v>3.3511375010382625</x:v>
      </x:c>
      <x:c r="R6" s="137" t="n">
        <x:v>1.8306112370020737</x:v>
      </x:c>
      <x:c r="S6" s="137" t="n">
        <x:v>0.21326202913719514</x:v>
      </x:c>
    </x:row>
    <x:row r="7">
      <x:c r="A7" s="138" t="n">
        <x:v>0.5</x:v>
      </x:c>
      <x:c r="B7" s="138" t="n">
        <x:v>3</x:v>
      </x:c>
      <x:c r="C7" s="138" t="n">
        <x:v>0.02393873916071021</x:v>
      </x:c>
      <x:c r="D7" s="138" t="n">
        <x:v>18.331269361461523</x:v>
      </x:c>
      <x:c r="E7" s="225" t="n">
        <x:v>0.0013058964269565244</x:v>
      </x:c>
      <x:c r="F7" s="138" t="n">
        <x:v>27.672323951764596</x:v>
      </x:c>
      <x:c r="G7" s="138" t="n">
        <x:v>6.842581669691503</x:v>
      </x:c>
      <x:c r="H7" s="138" t="n">
        <x:v>2.615832882600015</x:v>
      </x:c>
      <x:c r="I7" s="138" t="n">
        <x:v>0.2514351898737449</x:v>
      </x:c>
      <x:c r="K7" s="138" t="n">
        <x:v>0.5</x:v>
      </x:c>
      <x:c r="L7" s="138" t="n">
        <x:v>0.0002851424639912598</x:v>
      </x:c>
      <x:c r="M7" s="138" t="n">
        <x:v>0.005772769682700574</x:v>
      </x:c>
      <x:c r="N7" s="138" t="n">
        <x:v>17.098443699363564</x:v>
      </x:c>
      <x:c r="O7" s="225" t="n">
        <x:v>0.0003376195976780885</x:v>
      </x:c>
      <x:c r="P7" s="138" t="n">
        <x:v>54.42346340506613</x:v>
      </x:c>
      <x:c r="Q7" s="138" t="n">
        <x:v>1.6500722009214575</x:v>
      </x:c>
      <x:c r="R7" s="138" t="n">
        <x:v>1.2845513617296342</x:v>
      </x:c>
      <x:c r="S7" s="138" t="n">
        <x:v>0.0536479679037579</x:v>
      </x:c>
    </x:row>
    <x:row r="8">
      <x:c r="A8" s="138" t="n">
        <x:v>1</x:v>
      </x:c>
      <x:c r="B8" s="138" t="n">
        <x:v>3</x:v>
      </x:c>
      <x:c r="C8" s="138" t="n">
        <x:v>0.011723938478420237</x:v>
      </x:c>
      <x:c r="D8" s="138" t="n">
        <x:v>17.487983701237702</x:v>
      </x:c>
      <x:c r="E8" s="225" t="n">
        <x:v>0.0006703996686359264</x:v>
      </x:c>
      <x:c r="F8" s="138" t="n">
        <x:v>38.62185282106152</x:v>
      </x:c>
      <x:c r="G8" s="138" t="n">
        <x:v>3.3511375010382625</x:v>
      </x:c>
      <x:c r="H8" s="138" t="n">
        <x:v>1.8306112370020737</x:v>
      </x:c>
      <x:c r="I8" s="138" t="n">
        <x:v>0.21326202913719514</x:v>
      </x:c>
      <x:c r="K8" s="138" t="n">
        <x:v>1</x:v>
      </x:c>
      <x:c r="L8" s="138" t="n">
        <x:v>0.0002851424639912598</x:v>
      </x:c>
      <x:c r="M8" s="138" t="n">
        <x:v>0.004222332625515524</x:v>
      </x:c>
      <x:c r="N8" s="138" t="n">
        <x:v>16.99983524285554</x:v>
      </x:c>
      <x:c r="O8" s="225" t="n">
        <x:v>0.0002483749145327763</x:v>
      </x:c>
      <x:c r="P8" s="138" t="n">
        <x:v>63.45211967393245</x:v>
      </x:c>
      <x:c r="Q8" s="138" t="n">
        <x:v>1.2068996463319068</x:v>
      </x:c>
      <x:c r="R8" s="138" t="n">
        <x:v>1.0985898444514708</x:v>
      </x:c>
      <x:c r="S8" s="138" t="n">
        <x:v>0.012082426692771667</x:v>
      </x:c>
    </x:row>
    <x:row r="9">
      <x:c r="A9" s="138" t="n">
        <x:v>2</x:v>
      </x:c>
      <x:c r="B9" s="138" t="n">
        <x:v>3</x:v>
      </x:c>
      <x:c r="C9" s="138" t="n">
        <x:v>0.006867272527264934</x:v>
      </x:c>
      <x:c r="D9" s="138" t="n">
        <x:v>16.16948314155392</x:v>
      </x:c>
      <x:c r="E9" s="225" t="n">
        <x:v>0.00042470575386647613</x:v>
      </x:c>
      <x:c r="F9" s="138" t="n">
        <x:v>48.523925536261615</x:v>
      </x:c>
      <x:c r="G9" s="138" t="n">
        <x:v>1.9629218063815936</x:v>
      </x:c>
      <x:c r="H9" s="138" t="n">
        <x:v>1.4010431136769466</x:v>
      </x:c>
      <x:c r="I9" s="138" t="n">
        <x:v>0.2047038243020942</x:v>
      </x:c>
      <x:c r="K9" s="138" t="n">
        <x:v>2</x:v>
      </x:c>
      <x:c r="L9" s="138" t="n">
        <x:v>0.0002851424639912598</x:v>
      </x:c>
      <x:c r="M9" s="138" t="n">
        <x:v>0.0036997029460277275</x:v>
      </x:c>
      <x:c r="N9" s="138" t="n">
        <x:v>16.96685566705414</x:v>
      </x:c>
      <x:c r="O9" s="225" t="n">
        <x:v>0.00021805471907277007</x:v>
      </x:c>
      <x:c r="P9" s="138" t="n">
        <x:v>67.72004764851363</x:v>
      </x:c>
      <x:c r="Q9" s="138" t="n">
        <x:v>1.057512653103403</x:v>
      </x:c>
      <x:c r="R9" s="138" t="n">
        <x:v>1.028354342191155</x:v>
      </x:c>
      <x:c r="S9" s="138" t="n">
        <x:v>0.001927002866628485</x:v>
      </x:c>
    </x:row>
    <x:row r="10">
      <x:c r="A10" s="139" t="n">
        <x:v>5</x:v>
      </x:c>
      <x:c r="B10" s="139" t="n">
        <x:v>3</x:v>
      </x:c>
      <x:c r="C10" s="139" t="n">
        <x:v>0.005213876323484357</x:v>
      </x:c>
      <x:c r="D10" s="139" t="n">
        <x:v>12.98696086474676</x:v>
      </x:c>
      <x:c r="E10" s="226" t="n">
        <x:v>0.00040147008817416845</x:v>
      </x:c>
      <x:c r="F10" s="139" t="n">
        <x:v>49.90837197679117</x:v>
      </x:c>
      <x:c r="G10" s="139" t="n">
        <x:v>1.4903196997804684</x:v>
      </x:c>
      <x:c r="H10" s="139" t="n">
        <x:v>1.2207865086821972</x:v>
      </x:c>
      <x:c r="I10" s="139" t="n">
        <x:v>0.15532486904692047</x:v>
      </x:c>
      <x:c r="K10" s="139" t="n">
        <x:v>5</x:v>
      </x:c>
      <x:c r="L10" s="139" t="n">
        <x:v>0.0002851424639912598</x:v>
      </x:c>
      <x:c r="M10" s="139" t="n">
        <x:v>0.0035400574596291534</x:v>
      </x:c>
      <x:c r="N10" s="139" t="n">
        <x:v>16.95680744302844</x:v>
      </x:c>
      <x:c r="O10" s="226" t="n">
        <x:v>0.00020876910182079117</x:v>
      </x:c>
      <x:c r="P10" s="139" t="n">
        <x:v>69.2096875516003</x:v>
      </x:c>
      <x:c r="Q10" s="139" t="n">
        <x:v>1.0118800376366384</x:v>
      </x:c>
      <x:c r="R10" s="139" t="n">
        <x:v>1.005922480928147</x:v>
      </x:c>
      <x:c r="S10" s="139" t="n">
        <x:v>0.006206232562618934</x:v>
      </x:c>
    </x:row>
    <x:row r="13">
      <x:c r="K13" t="str">
        <x:v>Target-aligned RMS (%)</x:v>
      </x:c>
      <x:c r="L13" t="str">
        <x:v>λmin gain</x:v>
      </x:c>
    </x:row>
    <x:row r="14">
      <x:c r="A14" s="256" t="str">
        <x:v>Basis ablation at 1% RMS</x:v>
      </x:c>
      <x:c r="B14" s="256" t="str">
        <x:v>Basis ablation at 1% RMS</x:v>
      </x:c>
      <x:c r="C14" s="256" t="str">
        <x:v>Basis ablation at 1% RMS</x:v>
      </x:c>
      <x:c r="D14" s="256" t="str">
        <x:v>Basis ablation at 1% RMS</x:v>
      </x:c>
      <x:c r="E14" s="256" t="str">
        <x:v>Basis ablation at 1% RMS</x:v>
      </x:c>
      <x:c r="K14" t="n">
        <x:f>K6</x:f>
        <x:v>0</x:v>
      </x:c>
      <x:c r="L14" t="n">
        <x:f>Q6</x:f>
        <x:v>3.3511375010382625</x:v>
      </x:c>
    </x:row>
    <x:row r="15">
      <x:c r="A15" s="264" t="str">
        <x:v>Basis</x:v>
      </x:c>
      <x:c r="B15" s="265" t="str">
        <x:v>Terms</x:v>
      </x:c>
      <x:c r="C15" s="265" t="str">
        <x:v>λmin gain</x:v>
      </x:c>
      <x:c r="D15" s="265" t="str">
        <x:v>Worst-SD reduction</x:v>
      </x:c>
      <x:c r="E15" s="266" t="str">
        <x:v>Spectral ratio</x:v>
      </x:c>
      <x:c r="K15" t="n">
        <x:f>K7</x:f>
        <x:v>0.5</x:v>
      </x:c>
      <x:c r="L15" t="n">
        <x:f>Q7</x:f>
        <x:v>1.6500722009214575</x:v>
      </x:c>
    </x:row>
    <x:row r="16">
      <x:c r="A16" s="134" t="str">
        <x:v>intercept</x:v>
      </x:c>
      <x:c r="B16" s="134" t="n">
        <x:v>1</x:v>
      </x:c>
      <x:c r="C16" s="224" t="n">
        <x:v>13.504063644508964</x:v>
      </x:c>
      <x:c r="D16" s="224" t="n">
        <x:v>3.674787564541516</x:v>
      </x:c>
      <x:c r="E16" s="224" t="n">
        <x:v>0.0027899708616541</x:v>
      </x:c>
      <x:c r="K16" t="n">
        <x:f>K8</x:f>
        <x:v>1</x:v>
      </x:c>
      <x:c r="L16" t="n">
        <x:f>Q8</x:f>
        <x:v>1.2068996463319068</x:v>
      </x:c>
    </x:row>
    <x:row r="17">
      <x:c r="A17" s="135" t="str">
        <x:v>intercept_plus_porosity</x:v>
      </x:c>
      <x:c r="B17" s="135" t="n">
        <x:v>2</x:v>
      </x:c>
      <x:c r="C17" s="225" t="n">
        <x:v>5.169597149585615</x:v>
      </x:c>
      <x:c r="D17" s="225" t="n">
        <x:v>2.273674811749828</x:v>
      </x:c>
      <x:c r="E17" s="225" t="n">
        <x:v>0.0010486678019444</x:v>
      </x:c>
      <x:c r="K17" t="n">
        <x:f>K9</x:f>
        <x:v>2</x:v>
      </x:c>
      <x:c r="L17" t="n">
        <x:f>Q9</x:f>
        <x:v>1.057512653103403</x:v>
      </x:c>
    </x:row>
    <x:row r="18">
      <x:c r="A18" s="136" t="str">
        <x:v>intercept_plus_porosity_plus_clay</x:v>
      </x:c>
      <x:c r="B18" s="136" t="n">
        <x:v>3</x:v>
      </x:c>
      <x:c r="C18" s="226" t="n">
        <x:v>3.3511375010382625</x:v>
      </x:c>
      <x:c r="D18" s="226" t="n">
        <x:v>1.8306112370020735</x:v>
      </x:c>
      <x:c r="E18" s="226" t="n">
        <x:v>0.0006703996686359</x:v>
      </x:c>
      <x:c r="K18" t="n">
        <x:f>K10</x:f>
        <x:v>5</x:v>
      </x:c>
      <x:c r="L18" t="n">
        <x:f>Q10</x:f>
        <x:v>1.0118800376366384</x:v>
      </x:c>
    </x:row>
    <x:row r="22">
      <x:c r="A22" s="194" t="str">
        <x:v>Exact no-go audit</x:v>
      </x:c>
      <x:c r="B22" s="194" t="str">
        <x:v>Exact no-go audit</x:v>
      </x:c>
      <x:c r="C22" s="194" t="str">
        <x:v>Exact no-go audit</x:v>
      </x:c>
      <x:c r="D22" s="194" t="str">
        <x:v>Exact no-go audit</x:v>
      </x:c>
      <x:c r="E22" s="194" t="str">
        <x:v>Exact no-go audit</x:v>
      </x:c>
    </x:row>
    <x:row r="23">
      <x:c r="A23" s="274" t="str">
        <x:v>pressure_mpa</x:v>
      </x:c>
      <x:c r="B23" s="275" t="str">
        <x:v>max_abs_delta_Vp_mps</x:v>
      </x:c>
      <x:c r="C23" s="275" t="str">
        <x:v>max_abs_delta_Vs_mps</x:v>
      </x:c>
      <x:c r="D23" s="275" t="str">
        <x:v>max_abs_delta_rho_gcc</x:v>
      </x:c>
      <x:c r="E23" s="276" t="str">
        <x:v>differential_target_jacobian_norm</x:v>
      </x:c>
    </x:row>
    <x:row r="24">
      <x:c r="A24" s="224" t="n">
        <x:v>5</x:v>
      </x:c>
      <x:c r="B24" s="224" t="n">
        <x:v>0</x:v>
      </x:c>
      <x:c r="C24" s="224" t="n">
        <x:v>0</x:v>
      </x:c>
      <x:c r="D24" s="224" t="n">
        <x:v>0</x:v>
      </x:c>
      <x:c r="E24" s="224" t="n">
        <x:v>0</x:v>
      </x:c>
    </x:row>
    <x:row r="25">
      <x:c r="A25" s="225" t="n">
        <x:v>10</x:v>
      </x:c>
      <x:c r="B25" s="225" t="n">
        <x:v>0</x:v>
      </x:c>
      <x:c r="C25" s="225" t="n">
        <x:v>0</x:v>
      </x:c>
      <x:c r="D25" s="225" t="n">
        <x:v>0</x:v>
      </x:c>
      <x:c r="E25" s="225" t="n">
        <x:v>0</x:v>
      </x:c>
    </x:row>
    <x:row r="26">
      <x:c r="A26" s="225" t="n">
        <x:v>20</x:v>
      </x:c>
      <x:c r="B26" s="225" t="n">
        <x:v>0</x:v>
      </x:c>
      <x:c r="C26" s="225" t="n">
        <x:v>0</x:v>
      </x:c>
      <x:c r="D26" s="225" t="n">
        <x:v>0</x:v>
      </x:c>
      <x:c r="E26" s="225" t="n">
        <x:v>0</x:v>
      </x:c>
    </x:row>
    <x:row r="27">
      <x:c r="A27" s="225" t="n">
        <x:v>39</x:v>
      </x:c>
      <x:c r="B27" s="225" t="n">
        <x:v>0</x:v>
      </x:c>
      <x:c r="C27" s="225" t="n">
        <x:v>0</x:v>
      </x:c>
      <x:c r="D27" s="225" t="n">
        <x:v>0</x:v>
      </x:c>
      <x:c r="E27" s="225" t="n">
        <x:v>0</x:v>
      </x:c>
    </x:row>
    <x:row r="28">
      <x:c r="A28" s="225" t="n">
        <x:v>40</x:v>
      </x:c>
      <x:c r="B28" s="225" t="n">
        <x:v>0</x:v>
      </x:c>
      <x:c r="C28" s="225" t="n">
        <x:v>0</x:v>
      </x:c>
      <x:c r="D28" s="225" t="n">
        <x:v>0</x:v>
      </x:c>
      <x:c r="E28" s="225" t="n">
        <x:v>0</x:v>
      </x:c>
    </x:row>
    <x:row r="29">
      <x:c r="A29" s="226" t="n">
        <x:v>60</x:v>
      </x:c>
      <x:c r="B29" s="226" t="n">
        <x:v>0</x:v>
      </x:c>
      <x:c r="C29" s="226" t="n">
        <x:v>0</x:v>
      </x:c>
      <x:c r="D29" s="226" t="n">
        <x:v>0</x:v>
      </x:c>
      <x:c r="E29" s="226" t="n">
        <x:v>0</x:v>
      </x:c>
    </x:row>
    <x:row r="32">
      <x:c r="A32" s="194" t="str">
        <x:v>Replication cannot rotate the raw target direction</x:v>
      </x:c>
      <x:c r="B32" s="194" t="str">
        <x:v>Replication cannot rotate the raw target direction</x:v>
      </x:c>
      <x:c r="C32" s="194" t="str">
        <x:v>Replication cannot rotate the raw target direction</x:v>
      </x:c>
      <x:c r="D32" s="194" t="str">
        <x:v>Replication cannot rotate the raw target direction</x:v>
      </x:c>
      <x:c r="E32" s="194" t="str">
        <x:v>Replication cannot rotate the raw target direction</x:v>
      </x:c>
      <x:c r="F32" s="194" t="str">
        <x:v>Replication cannot rotate the raw target direction</x:v>
      </x:c>
      <x:c r="G32" s="194" t="str">
        <x:v>Replication cannot rotate the raw target direction</x:v>
      </x:c>
      <x:c r="H32" s="194" t="str">
        <x:v>Replication cannot rotate the raw target direction</x:v>
      </x:c>
      <x:c r="I32" s="194" t="str">
        <x:v>Replication cannot rotate the raw target direction</x:v>
      </x:c>
    </x:row>
    <x:row r="33">
      <x:c r="A33" s="274" t="str">
        <x:v>n_identical_static_states</x:v>
      </x:c>
      <x:c r="B33" s="275" t="str">
        <x:v>lambda_min</x:v>
      </x:c>
      <x:c r="C33" s="275" t="str">
        <x:v>lambda_max</x:v>
      </x:c>
      <x:c r="D33" s="275" t="str">
        <x:v>lambda_min_gain</x:v>
      </x:c>
      <x:c r="E33" s="275" t="str">
        <x:v>spectral_ratio</x:v>
      </x:c>
      <x:c r="F33" s="275" t="str">
        <x:v>raw_strong_direction_rotation_deg</x:v>
      </x:c>
      <x:c r="G33" s="275" t="str">
        <x:v>target_rank</x:v>
      </x:c>
      <x:c r="H33" s="276" t="str">
        <x:v>new_sensitivity_direction</x:v>
      </x:c>
    </x:row>
    <x:row r="34">
      <x:c r="A34" s="134" t="n">
        <x:v>1</x:v>
      </x:c>
      <x:c r="B34" s="224" t="n">
        <x:v>0.003498495204923069</x:v>
      </x:c>
      <x:c r="C34" s="224" t="n">
        <x:v>8.225104925833136</x:v>
      </x:c>
      <x:c r="D34" s="224" t="n">
        <x:v>1</x:v>
      </x:c>
      <x:c r="E34" s="224" t="n">
        <x:v>0.00042534353500283154</x:v>
      </x:c>
      <x:c r="F34" s="224" t="n">
        <x:v>0</x:v>
      </x:c>
      <x:c r="G34" s="134" t="n">
        <x:v>2</x:v>
      </x:c>
      <x:c r="H34" s="134" t="n">
        <x:v>0</x:v>
      </x:c>
    </x:row>
    <x:row r="35">
      <x:c r="A35" s="135" t="n">
        <x:v>2</x:v>
      </x:c>
      <x:c r="B35" s="225" t="n">
        <x:v>0.005110535362365276</x:v>
      </x:c>
      <x:c r="C35" s="225" t="n">
        <x:v>9.97060141824765</x:v>
      </x:c>
      <x:c r="D35" s="225" t="n">
        <x:v>1.4607810109825934</x:v>
      </x:c>
      <x:c r="E35" s="225" t="n">
        <x:v>0.0005125603910925828</x:v>
      </x:c>
      <x:c r="F35" s="225" t="n">
        <x:v>0</x:v>
      </x:c>
      <x:c r="G35" s="135" t="n">
        <x:v>2</x:v>
      </x:c>
      <x:c r="H35" s="135" t="n">
        <x:v>0</x:v>
      </x:c>
    </x:row>
    <x:row r="36">
      <x:c r="A36" s="135" t="n">
        <x:v>3</x:v>
      </x:c>
      <x:c r="B36" s="225" t="n">
        <x:v>0.006334463777776467</x:v>
      </x:c>
      <x:c r="C36" s="225" t="n">
        <x:v>11.30129679817874</x:v>
      </x:c>
      <x:c r="D36" s="225" t="n">
        <x:v>1.8106252564996042</x:v>
      </x:c>
      <x:c r="E36" s="225" t="n">
        <x:v>0.0005605076913648792</x:v>
      </x:c>
      <x:c r="F36" s="225" t="n">
        <x:v>0</x:v>
      </x:c>
      <x:c r="G36" s="135" t="n">
        <x:v>2</x:v>
      </x:c>
      <x:c r="H36" s="135" t="n">
        <x:v>0</x:v>
      </x:c>
    </x:row>
    <x:row r="37">
      <x:c r="A37" s="135" t="n">
        <x:v>5</x:v>
      </x:c>
      <x:c r="B37" s="225" t="n">
        <x:v>0.008326814787762427</x:v>
      </x:c>
      <x:c r="C37" s="225" t="n">
        <x:v>13.315142323640618</x:v>
      </x:c>
      <x:c r="D37" s="225" t="n">
        <x:v>2.380113248703318</x:v>
      </x:c>
      <x:c r="E37" s="225" t="n">
        <x:v>0.0006253643096986224</x:v>
      </x:c>
      <x:c r="F37" s="225" t="n">
        <x:v>0</x:v>
      </x:c>
      <x:c r="G37" s="135" t="n">
        <x:v>2</x:v>
      </x:c>
      <x:c r="H37" s="135" t="n">
        <x:v>0</x:v>
      </x:c>
    </x:row>
    <x:row r="38">
      <x:c r="A38" s="135" t="n">
        <x:v>10</x:v>
      </x:c>
      <x:c r="B38" s="225" t="n">
        <x:v>0.012373521650886232</x:v>
      </x:c>
      <x:c r="C38" s="225" t="n">
        <x:v>16.571929403818046</x:v>
      </x:c>
      <x:c r="D38" s="225" t="n">
        <x:v>3.536812522559488</x:v>
      </x:c>
      <x:c r="E38" s="225" t="n">
        <x:v>0.0007466554647544822</x:v>
      </x:c>
      <x:c r="F38" s="225" t="n">
        <x:v>0</x:v>
      </x:c>
      <x:c r="G38" s="135" t="n">
        <x:v>2</x:v>
      </x:c>
      <x:c r="H38" s="135" t="n">
        <x:v>0</x:v>
      </x:c>
    </x:row>
    <x:row r="39">
      <x:c r="A39" s="136" t="n">
        <x:v>20</x:v>
      </x:c>
      <x:c r="B39" s="226" t="n">
        <x:v>0.019148691008451735</x:v>
      </x:c>
      <x:c r="C39" s="226" t="n">
        <x:v>20.283317646616993</x:v>
      </x:c>
      <x:c r="D39" s="226" t="n">
        <x:v>5.473407818740403</x:v>
      </x:c>
      <x:c r="E39" s="226" t="n">
        <x:v>0.0009440610920790613</x:v>
      </x:c>
      <x:c r="F39" s="226" t="n">
        <x:v>0</x:v>
      </x:c>
      <x:c r="G39" s="136" t="n">
        <x:v>2</x:v>
      </x:c>
      <x:c r="H39" s="136" t="n">
        <x:v>0</x:v>
      </x:c>
    </x:row>
    <x:row r="42">
      <x:c r="A42" s="147" t="str">
        <x:v>Multi-fluid comparison control</x:v>
      </x:c>
      <x:c r="B42" s="147" t="str">
        <x:v>Multi-fluid comparison control</x:v>
      </x:c>
      <x:c r="C42" s="147" t="str">
        <x:v>Multi-fluid comparison control</x:v>
      </x:c>
      <x:c r="D42" s="147" t="str">
        <x:v>Multi-fluid comparison control</x:v>
      </x:c>
      <x:c r="E42" s="147" t="str">
        <x:v>Multi-fluid comparison control</x:v>
      </x:c>
      <x:c r="F42" s="147" t="str">
        <x:v>Multi-fluid comparison control</x:v>
      </x:c>
    </x:row>
    <x:row r="43">
      <x:c r="A43" s="155" t="str">
        <x:v>design</x:v>
      </x:c>
      <x:c r="B43" s="156" t="str">
        <x:v>n_additional_states</x:v>
      </x:c>
      <x:c r="C43" s="156" t="str">
        <x:v>lambda_min</x:v>
      </x:c>
      <x:c r="D43" s="156" t="str">
        <x:v>lambda_min_gain</x:v>
      </x:c>
      <x:c r="E43" s="156" t="str">
        <x:v>spectral_ratio</x:v>
      </x:c>
      <x:c r="F43" s="157" t="str">
        <x:v>strong_direction_rotation_deg</x:v>
      </x:c>
    </x:row>
    <x:row r="44">
      <x:c r="A44" s="134" t="str">
        <x:v>baseline_only</x:v>
      </x:c>
      <x:c r="B44" s="134" t="n">
        <x:v>0</x:v>
      </x:c>
      <x:c r="C44" s="224" t="n">
        <x:v>0.003498495204923069</x:v>
      </x:c>
      <x:c r="D44" s="224" t="n">
        <x:v>1</x:v>
      </x:c>
      <x:c r="E44" s="224" t="n">
        <x:v>0.00042534353500283154</x:v>
      </x:c>
      <x:c r="F44" s="224" t="n">
        <x:v>0</x:v>
      </x:c>
    </x:row>
    <x:row r="45">
      <x:c r="A45" s="135" t="str">
        <x:v>plus_brine</x:v>
      </x:c>
      <x:c r="B45" s="135" t="n">
        <x:v>1</x:v>
      </x:c>
      <x:c r="C45" s="225" t="n">
        <x:v>0.004822290052287848</x:v>
      </x:c>
      <x:c r="D45" s="225" t="n">
        <x:v>1.3783897846999875</x:v>
      </x:c>
      <x:c r="E45" s="225" t="n">
        <x:v>0.0004899745012771811</x:v>
      </x:c>
      <x:c r="F45" s="225" t="n">
        <x:v>0.07896084528576176</x:v>
      </x:c>
    </x:row>
    <x:row r="46">
      <x:c r="A46" s="135" t="str">
        <x:v>plus_hydrocarbon</x:v>
      </x:c>
      <x:c r="B46" s="135" t="n">
        <x:v>1</x:v>
      </x:c>
      <x:c r="C46" s="225" t="n">
        <x:v>0.005933388982573007</x:v>
      </x:c>
      <x:c r="D46" s="225" t="n">
        <x:v>1.6959831684844286</x:v>
      </x:c>
      <x:c r="E46" s="225" t="n">
        <x:v>0.0005793851818867119</x:v>
      </x:c>
      <x:c r="F46" s="225" t="n">
        <x:v>0.18721960251492276</x:v>
      </x:c>
    </x:row>
    <x:row r="47">
      <x:c r="A47" s="135" t="str">
        <x:v>plus_brine_and_hydrocarbon</x:v>
      </x:c>
      <x:c r="B47" s="135" t="n">
        <x:v>2</x:v>
      </x:c>
      <x:c r="C47" s="225" t="n">
        <x:v>0.00695076014113738</x:v>
      </x:c>
      <x:c r="D47" s="225" t="n">
        <x:v>1.9867856704094655</x:v>
      </x:c>
      <x:c r="E47" s="225" t="n">
        <x:v>0.0006067461059927932</x:v>
      </x:c>
      <x:c r="F47" s="225" t="n">
        <x:v>0.21079253753315547</x:v>
      </x:c>
    </x:row>
    <x:row r="48">
      <x:c r="A48" s="136" t="str">
        <x:v>plus_three_fluid_states</x:v>
      </x:c>
      <x:c r="B48" s="136" t="n">
        <x:v>3</x:v>
      </x:c>
      <x:c r="C48" s="226" t="n">
        <x:v>0.008300116235699928</x:v>
      </x:c>
      <x:c r="D48" s="226" t="n">
        <x:v>2.372481809899307</x:v>
      </x:c>
      <x:c r="E48" s="226" t="n">
        <x:v>0.0006600525282461328</x:v>
      </x:c>
      <x:c r="F48" s="226" t="n">
        <x:v>0.25635086992273587</x:v>
      </x:c>
    </x:row>
    <x:row r="51">
      <x:c r="A51" s="163" t="str">
        <x:v>Bounding-average validity</x:v>
      </x:c>
      <x:c r="B51" s="163" t="str">
        <x:v>Bounding-average validity</x:v>
      </x:c>
      <x:c r="C51" s="163" t="str">
        <x:v>Bounding-average validity</x:v>
      </x:c>
      <x:c r="D51" s="163" t="str">
        <x:v>Bounding-average validity</x:v>
      </x:c>
      <x:c r="E51" s="163" t="str">
        <x:v>Bounding-average validity</x:v>
      </x:c>
      <x:c r="F51" s="163" t="str">
        <x:v>Bounding-average validity</x:v>
      </x:c>
      <x:c r="G51" s="163" t="str">
        <x:v>Bounding-average validity</x:v>
      </x:c>
      <x:c r="H51" s="163" t="str">
        <x:v>Bounding-average validity</x:v>
      </x:c>
      <x:c r="I51" s="163" t="str">
        <x:v>Bounding-average validity</x:v>
      </x:c>
      <x:c r="J51" s="163" t="str">
        <x:v>Bounding-average validity</x:v>
      </x:c>
    </x:row>
    <x:row r="52">
      <x:c r="A52" s="284" t="str">
        <x:v>Domain</x:v>
      </x:c>
      <x:c r="B52" s="285" t="str">
        <x:v>W_K min</x:v>
      </x:c>
      <x:c r="C52" s="285" t="str">
        <x:v>W_K max</x:v>
      </x:c>
      <x:c r="D52" s="285" t="str">
        <x:v>W_G min</x:v>
      </x:c>
      <x:c r="E52" s="285" t="str">
        <x:v>W_G max</x:v>
      </x:c>
      <x:c r="F52" s="286" t="str">
        <x:v>Maximum outside [0,1]</x:v>
      </x:c>
      <x:c r="H52" s="183" t="str">
        <x:v>Important distinction: target-aligned discrepancy = 0% still retains the primary generic 1%-RMS intercept + porosity + clay discrepancy. It is not the same experiment as generic discrepancy = 0%.</x:v>
      </x:c>
      <x:c r="I52" s="184"/>
      <x:c r="J52" s="184"/>
      <x:c r="K52" s="184"/>
      <x:c r="L52" s="184"/>
      <x:c r="M52" s="184"/>
      <x:c r="N52" s="184"/>
      <x:c r="O52" s="184"/>
      <x:c r="P52" s="184"/>
      <x:c r="Q52" s="184"/>
      <x:c r="R52" s="184"/>
      <x:c r="S52" s="184"/>
      <x:c r="T52" s="185"/>
    </x:row>
    <x:row r="53">
      <x:c r="A53" s="134" t="str">
        <x:v>Pooled operating point + 1σ local nuisance scenarios</x:v>
      </x:c>
      <x:c r="B53" s="158" t="n">
        <x:v>0.832855701485364</x:v>
      </x:c>
      <x:c r="C53" s="158" t="n">
        <x:v>0.8810250318998076</x:v>
      </x:c>
      <x:c r="D53" s="158" t="n">
        <x:v>0.7601106563730337</x:v>
      </x:c>
      <x:c r="E53" s="158" t="n">
        <x:v>0.8030318080463104</x:v>
      </x:c>
      <x:c r="F53" s="227" t="n">
        <x:v>0</x:v>
      </x:c>
      <x:c r="H53" s="186"/>
      <x:c r="I53" s="187"/>
      <x:c r="J53" s="187"/>
      <x:c r="K53" s="187"/>
      <x:c r="L53" s="187"/>
      <x:c r="M53" s="187"/>
      <x:c r="N53" s="187"/>
      <x:c r="O53" s="187"/>
      <x:c r="P53" s="187"/>
      <x:c r="Q53" s="187"/>
      <x:c r="R53" s="187"/>
      <x:c r="S53" s="187"/>
      <x:c r="T53" s="188"/>
    </x:row>
    <x:row r="54">
      <x:c r="A54" s="136" t="str">
        <x:v>Wider E2 bootstrap stress test</x:v>
      </x:c>
      <x:c r="B54" s="160" t="n">
        <x:v>0.2912352901662592</x:v>
      </x:c>
      <x:c r="C54" s="160" t="n">
        <x:v>1.2599601638076503</x:v>
      </x:c>
      <x:c r="D54" s="160" t="n">
        <x:v>0.2379081512326708</x:v>
      </x:c>
      <x:c r="E54" s="160" t="n">
        <x:v>1.1671257540253577</x:v>
      </x:c>
      <x:c r="F54" s="229" t="n">
        <x:v>1</x:v>
      </x:c>
      <x:c r="H54" s="186"/>
      <x:c r="I54" s="187"/>
      <x:c r="J54" s="187"/>
      <x:c r="K54" s="187"/>
      <x:c r="L54" s="187"/>
      <x:c r="M54" s="187"/>
      <x:c r="N54" s="187"/>
      <x:c r="O54" s="187"/>
      <x:c r="P54" s="187"/>
      <x:c r="Q54" s="187"/>
      <x:c r="R54" s="187"/>
      <x:c r="S54" s="187"/>
      <x:c r="T54" s="188"/>
    </x:row>
    <x:row r="55">
      <x:c r="H55" s="189"/>
      <x:c r="I55" s="190"/>
      <x:c r="J55" s="190"/>
      <x:c r="K55" s="190"/>
      <x:c r="L55" s="190"/>
      <x:c r="M55" s="190"/>
      <x:c r="N55" s="190"/>
      <x:c r="O55" s="190"/>
      <x:c r="P55" s="190"/>
      <x:c r="Q55" s="190"/>
      <x:c r="R55" s="190"/>
      <x:c r="S55" s="190"/>
      <x:c r="T55" s="191"/>
    </x:row>
  </x:sheetData>
  <x:mergeCells>
    <x:mergeCell ref="A1:T1"/>
    <x:mergeCell ref="A2:T2"/>
    <x:mergeCell ref="A4:I4"/>
    <x:mergeCell ref="K4:T4"/>
    <x:mergeCell ref="A14:E14"/>
    <x:mergeCell ref="A22:E22"/>
    <x:mergeCell ref="A32:I32"/>
    <x:mergeCell ref="A42:F42"/>
    <x:mergeCell ref="A51:J51"/>
    <x:mergeCell ref="H52:T55"/>
  </x:mergeCells>
  <x:pageMargins left="0.7" right="0.7" top="0.75" bottom="0.75" header="0.3" footer="0.3"/>
  <x:drawing xmlns:r="http://schemas.openxmlformats.org/officeDocument/2006/relationships" r:id="R9ce34bf4378340e0"/>
  <x:tableParts count="7">
    <x:tablePart xmlns:r="http://schemas.openxmlformats.org/officeDocument/2006/relationships" r:id="R9818dae365d64c45"/>
    <x:tablePart xmlns:r="http://schemas.openxmlformats.org/officeDocument/2006/relationships" r:id="R9c82839d5acb4086"/>
    <x:tablePart xmlns:r="http://schemas.openxmlformats.org/officeDocument/2006/relationships" r:id="Ra472850245e74be2"/>
    <x:tablePart xmlns:r="http://schemas.openxmlformats.org/officeDocument/2006/relationships" r:id="Rfb38e7c9eded48c8"/>
    <x:tablePart xmlns:r="http://schemas.openxmlformats.org/officeDocument/2006/relationships" r:id="R441adb6f42c54dd6"/>
    <x:tablePart xmlns:r="http://schemas.openxmlformats.org/officeDocument/2006/relationships" r:id="R346c2bd84e6642a1"/>
    <x:tablePart xmlns:r="http://schemas.openxmlformats.org/officeDocument/2006/relationships" r:id="Rc098e359c9dd44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440000534057617" hidden="0" customWidth="1"/>
    <x:col min="2" max="2" width="12.220000267028809" hidden="0" customWidth="1"/>
    <x:col min="3" max="3" width="12.779999732971191" hidden="0" customWidth="1"/>
    <x:col min="4" max="4" width="12.779999732971191" hidden="0" customWidth="1"/>
    <x:col min="5" max="5" width="16.110000610351562" hidden="0" customWidth="1"/>
    <x:col min="6" max="6" width="14.4399995803833" hidden="0" customWidth="1"/>
    <x:col min="7" max="7" width="14.4399995803833" hidden="0" customWidth="1"/>
    <x:col min="8" max="8" width="11.670000076293945" hidden="0" customWidth="1"/>
    <x:col min="9" max="9" width="11.670000076293945" hidden="0" customWidth="1"/>
    <x:col min="10" max="10" width="16.110000610351562" hidden="0" customWidth="1"/>
    <x:col min="11" max="11" width="13.890000343322754" hidden="0" customWidth="1"/>
    <x:col min="12" max="12" width="13.890000343322754" hidden="0" customWidth="1"/>
    <x:col min="13" max="13" width="11.670000076293945" hidden="0" customWidth="1"/>
    <x:col min="14" max="14" width="11.670000076293945" hidden="0" customWidth="1"/>
    <x:col min="15" max="15" width="2.6700000762939453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</x:cols>
  <x:sheetData>
    <x:row r="1" ht="30" customHeight="1">
      <x:c r="A1" s="3" t="str">
        <x:v>Finite ridge profiles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4" customHeight="1">
      <x:c r="A2" s="7" t="str">
        <x:v>Nonlinear target grid with the nuisance tangent space frozen at the operating point. Objective values are dimensionless ΔΦ.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>
      <x:c r="A4" s="119" t="str">
        <x:v>Support widths at ΔΦ = 2.30 and 5.99</x:v>
      </x:c>
      <x:c r="B4" s="119" t="str">
        <x:v>Support widths at ΔΦ = 2.30 and 5.99</x:v>
      </x:c>
      <x:c r="C4" s="119" t="str">
        <x:v>Support widths at ΔΦ = 2.30 and 5.99</x:v>
      </x:c>
      <x:c r="D4" s="119" t="str">
        <x:v>Support widths at ΔΦ = 2.30 and 5.99</x:v>
      </x:c>
      <x:c r="E4" s="119" t="str">
        <x:v>Support widths at ΔΦ = 2.30 and 5.99</x:v>
      </x:c>
      <x:c r="F4" s="119" t="str">
        <x:v>Support widths at ΔΦ = 2.30 and 5.99</x:v>
      </x:c>
      <x:c r="G4" s="119" t="str">
        <x:v>Support widths at ΔΦ = 2.30 and 5.99</x:v>
      </x:c>
      <x:c r="H4" s="119" t="str">
        <x:v>Support widths at ΔΦ = 2.30 and 5.99</x:v>
      </x:c>
      <x:c r="I4" s="119" t="str">
        <x:v>Support widths at ΔΦ = 2.30 and 5.99</x:v>
      </x:c>
      <x:c r="J4" s="119" t="str">
        <x:v>Support widths at ΔΦ = 2.30 and 5.99</x:v>
      </x:c>
      <x:c r="K4" s="119" t="str">
        <x:v>Support widths at ΔΦ = 2.30 and 5.99</x:v>
      </x:c>
      <x:c r="L4" s="119" t="str">
        <x:v>Support widths at ΔΦ = 2.30 and 5.99</x:v>
      </x:c>
      <x:c r="M4" s="119" t="str">
        <x:v>Support widths at ΔΦ = 2.30 and 5.99</x:v>
      </x:c>
      <x:c r="N4" s="119" t="str">
        <x:v>Support widths at ΔΦ = 2.30 and 5.99</x:v>
      </x:c>
    </x:row>
    <x:row r="5">
      <x:c r="A5" s="127" t="str">
        <x:v>Objective</x:v>
      </x:c>
      <x:c r="B5" s="128" t="str">
        <x:v>Threshold ΔΦ</x:v>
      </x:c>
      <x:c r="C5" s="128" t="str">
        <x:v>Vcem min</x:v>
      </x:c>
      <x:c r="D5" s="128" t="str">
        <x:v>Vcem max</x:v>
      </x:c>
      <x:c r="E5" s="128" t="str">
        <x:v>Vcem width (pp; ≥ if censored)</x:v>
      </x:c>
      <x:c r="F5" s="128" t="str">
        <x:v>Vcem lower censored</x:v>
      </x:c>
      <x:c r="G5" s="128" t="str">
        <x:v>Vcem upper censored</x:v>
      </x:c>
      <x:c r="H5" s="128" t="str">
        <x:v>Cn min</x:v>
      </x:c>
      <x:c r="I5" s="128" t="str">
        <x:v>Cn max</x:v>
      </x:c>
      <x:c r="J5" s="128" t="str">
        <x:v>Cn width (≥ if censored)</x:v>
      </x:c>
      <x:c r="K5" s="128" t="str">
        <x:v>Cn lower censored</x:v>
      </x:c>
      <x:c r="L5" s="128" t="str">
        <x:v>Cn upper censored</x:v>
      </x:c>
      <x:c r="M5" s="128" t="str">
        <x:v>Truth Vcem</x:v>
      </x:c>
      <x:c r="N5" s="129" t="str">
        <x:v>Truth Cn</x:v>
      </x:c>
    </x:row>
    <x:row r="6">
      <x:c r="A6" s="134" t="str">
        <x:v>static_raw_objective</x:v>
      </x:c>
      <x:c r="B6" s="158" t="n">
        <x:v>2.3</x:v>
      </x:c>
      <x:c r="C6" s="158" t="n">
        <x:v>0.002</x:v>
      </x:c>
      <x:c r="D6" s="158" t="n">
        <x:v>0.035</x:v>
      </x:c>
      <x:c r="E6" s="158" t="n">
        <x:f>(D6-C6)*100</x:f>
        <x:v>3.3000000000000003</x:v>
      </x:c>
      <x:c r="F6" s="289" t="b">
        <x:v>1</x:v>
      </x:c>
      <x:c r="G6" s="289" t="b">
        <x:v>1</x:v>
      </x:c>
      <x:c r="H6" s="158" t="n">
        <x:v>4.284301932291658</x:v>
      </x:c>
      <x:c r="I6" s="158" t="n">
        <x:v>9.436500593988008</x:v>
      </x:c>
      <x:c r="J6" s="158" t="n">
        <x:f>I6-H6</x:f>
        <x:v>5.1521986616963495</x:v>
      </x:c>
      <x:c r="K6" s="289" t="b">
        <x:v>0</x:v>
      </x:c>
      <x:c r="L6" s="289" t="b">
        <x:v>0</x:v>
      </x:c>
      <x:c r="M6" s="137" t="n">
        <x:v>0.012546045825196089</x:v>
      </x:c>
      <x:c r="N6" s="137" t="n">
        <x:v>5.436001877454284</x:v>
      </x:c>
    </x:row>
    <x:row r="7">
      <x:c r="A7" s="135" t="str">
        <x:v>static_raw_objective</x:v>
      </x:c>
      <x:c r="B7" s="159" t="n">
        <x:v>5.99</x:v>
      </x:c>
      <x:c r="C7" s="159" t="n">
        <x:v>0.002</x:v>
      </x:c>
      <x:c r="D7" s="159" t="n">
        <x:v>0.035</x:v>
      </x:c>
      <x:c r="E7" s="159" t="n">
        <x:f>(D7-C7)*100</x:f>
        <x:v>3.3000000000000003</x:v>
      </x:c>
      <x:c r="F7" s="252" t="b">
        <x:v>1</x:v>
      </x:c>
      <x:c r="G7" s="252" t="b">
        <x:v>1</x:v>
      </x:c>
      <x:c r="H7" s="159" t="n">
        <x:v>4.139711068319459</x:v>
      </x:c>
      <x:c r="I7" s="159" t="n">
        <x:v>9.436500593988008</x:v>
      </x:c>
      <x:c r="J7" s="159" t="n">
        <x:f>I7-H7</x:f>
        <x:v>5.296789525668549</x:v>
      </x:c>
      <x:c r="K7" s="252" t="b">
        <x:v>0</x:v>
      </x:c>
      <x:c r="L7" s="252" t="b">
        <x:v>0</x:v>
      </x:c>
      <x:c r="M7" s="138" t="n">
        <x:v>0.012546045825196089</x:v>
      </x:c>
      <x:c r="N7" s="138" t="n">
        <x:v>5.436001877454284</x:v>
      </x:c>
    </x:row>
    <x:row r="8">
      <x:c r="A8" s="135" t="str">
        <x:v>static_adjusted_objective</x:v>
      </x:c>
      <x:c r="B8" s="159" t="n">
        <x:v>2.3</x:v>
      </x:c>
      <x:c r="C8" s="159" t="n">
        <x:v>0.002</x:v>
      </x:c>
      <x:c r="D8" s="159" t="n">
        <x:v>0.035</x:v>
      </x:c>
      <x:c r="E8" s="159" t="n">
        <x:f>(D8-C8)*100</x:f>
        <x:v>3.3000000000000003</x:v>
      </x:c>
      <x:c r="F8" s="252" t="b">
        <x:v>1</x:v>
      </x:c>
      <x:c r="G8" s="252" t="b">
        <x:v>1</x:v>
      </x:c>
      <x:c r="H8" s="159" t="n">
        <x:v>4</x:v>
      </x:c>
      <x:c r="I8" s="159" t="n">
        <x:v>10.825578869760541</x:v>
      </x:c>
      <x:c r="J8" s="159" t="n">
        <x:f>I8-H8</x:f>
        <x:v>6.825578869760541</x:v>
      </x:c>
      <x:c r="K8" s="252" t="b">
        <x:v>1</x:v>
      </x:c>
      <x:c r="L8" s="252" t="b">
        <x:v>0</x:v>
      </x:c>
      <x:c r="M8" s="138" t="n">
        <x:v>0.012546045825196089</x:v>
      </x:c>
      <x:c r="N8" s="138" t="n">
        <x:v>5.436001877454284</x:v>
      </x:c>
    </x:row>
    <x:row r="9">
      <x:c r="A9" s="135" t="str">
        <x:v>static_adjusted_objective</x:v>
      </x:c>
      <x:c r="B9" s="159" t="n">
        <x:v>5.99</x:v>
      </x:c>
      <x:c r="C9" s="159" t="n">
        <x:v>0.002</x:v>
      </x:c>
      <x:c r="D9" s="159" t="n">
        <x:v>0.035</x:v>
      </x:c>
      <x:c r="E9" s="159" t="n">
        <x:f>(D9-C9)*100</x:f>
        <x:v>3.3000000000000003</x:v>
      </x:c>
      <x:c r="F9" s="252" t="b">
        <x:v>1</x:v>
      </x:c>
      <x:c r="G9" s="252" t="b">
        <x:v>1</x:v>
      </x:c>
      <x:c r="H9" s="159" t="n">
        <x:v>4</x:v>
      </x:c>
      <x:c r="I9" s="159" t="n">
        <x:v>12</x:v>
      </x:c>
      <x:c r="J9" s="159" t="n">
        <x:f>I9-H9</x:f>
        <x:v>8</x:v>
      </x:c>
      <x:c r="K9" s="252" t="b">
        <x:v>1</x:v>
      </x:c>
      <x:c r="L9" s="252" t="b">
        <x:v>1</x:v>
      </x:c>
      <x:c r="M9" s="138" t="n">
        <x:v>0.012546045825196089</x:v>
      </x:c>
      <x:c r="N9" s="138" t="n">
        <x:v>5.436001877454284</x:v>
      </x:c>
    </x:row>
    <x:row r="10">
      <x:c r="A10" s="135" t="str">
        <x:v>combined_raw_objective</x:v>
      </x:c>
      <x:c r="B10" s="159" t="n">
        <x:v>2.3</x:v>
      </x:c>
      <x:c r="C10" s="159" t="n">
        <x:v>0.002</x:v>
      </x:c>
      <x:c r="D10" s="159" t="n">
        <x:v>0.0328</x:v>
      </x:c>
      <x:c r="E10" s="159" t="n">
        <x:f>(D10-C10)*100</x:f>
        <x:v>3.08</x:v>
      </x:c>
      <x:c r="F10" s="252" t="b">
        <x:v>1</x:v>
      </x:c>
      <x:c r="G10" s="252" t="b">
        <x:v>0</x:v>
      </x:c>
      <x:c r="H10" s="159" t="n">
        <x:v>4.433943032282555</x:v>
      </x:c>
      <x:c r="I10" s="159" t="n">
        <x:v>9.11802822781911</x:v>
      </x:c>
      <x:c r="J10" s="159" t="n">
        <x:f>I10-H10</x:f>
        <x:v>4.6840851955365554</x:v>
      </x:c>
      <x:c r="K10" s="252" t="b">
        <x:v>0</x:v>
      </x:c>
      <x:c r="L10" s="252" t="b">
        <x:v>0</x:v>
      </x:c>
      <x:c r="M10" s="138" t="n">
        <x:v>0.012546045825196089</x:v>
      </x:c>
      <x:c r="N10" s="138" t="n">
        <x:v>5.436001877454284</x:v>
      </x:c>
    </x:row>
    <x:row r="11">
      <x:c r="A11" s="135" t="str">
        <x:v>combined_raw_objective</x:v>
      </x:c>
      <x:c r="B11" s="159" t="n">
        <x:v>5.99</x:v>
      </x:c>
      <x:c r="C11" s="159" t="n">
        <x:v>0.002</x:v>
      </x:c>
      <x:c r="D11" s="159" t="n">
        <x:v>0.035</x:v>
      </x:c>
      <x:c r="E11" s="159" t="n">
        <x:f>(D11-C11)*100</x:f>
        <x:v>3.3000000000000003</x:v>
      </x:c>
      <x:c r="F11" s="252" t="b">
        <x:v>1</x:v>
      </x:c>
      <x:c r="G11" s="252" t="b">
        <x:v>1</x:v>
      </x:c>
      <x:c r="H11" s="159" t="n">
        <x:v>4.433943032282555</x:v>
      </x:c>
      <x:c r="I11" s="159" t="n">
        <x:v>9.11802822781911</x:v>
      </x:c>
      <x:c r="J11" s="159" t="n">
        <x:f>I11-H11</x:f>
        <x:v>4.6840851955365554</x:v>
      </x:c>
      <x:c r="K11" s="252" t="b">
        <x:v>0</x:v>
      </x:c>
      <x:c r="L11" s="252" t="b">
        <x:v>0</x:v>
      </x:c>
      <x:c r="M11" s="138" t="n">
        <x:v>0.012546045825196089</x:v>
      </x:c>
      <x:c r="N11" s="138" t="n">
        <x:v>5.436001877454284</x:v>
      </x:c>
    </x:row>
    <x:row r="12">
      <x:c r="A12" s="135" t="str">
        <x:v>combined_adjusted_objective</x:v>
      </x:c>
      <x:c r="B12" s="159" t="n">
        <x:v>2.3</x:v>
      </x:c>
      <x:c r="C12" s="159" t="n">
        <x:v>0.002</x:v>
      </x:c>
      <x:c r="D12" s="159" t="n">
        <x:v>0.035</x:v>
      </x:c>
      <x:c r="E12" s="159" t="n">
        <x:f>(D12-C12)*100</x:f>
        <x:v>3.3000000000000003</x:v>
      </x:c>
      <x:c r="F12" s="252" t="b">
        <x:v>1</x:v>
      </x:c>
      <x:c r="G12" s="252" t="b">
        <x:v>1</x:v>
      </x:c>
      <x:c r="H12" s="159" t="n">
        <x:v>4</x:v>
      </x:c>
      <x:c r="I12" s="159" t="n">
        <x:v>10.46022651446083</x:v>
      </x:c>
      <x:c r="J12" s="159" t="n">
        <x:f>I12-H12</x:f>
        <x:v>6.46022651446083</x:v>
      </x:c>
      <x:c r="K12" s="252" t="b">
        <x:v>1</x:v>
      </x:c>
      <x:c r="L12" s="252" t="b">
        <x:v>0</x:v>
      </x:c>
      <x:c r="M12" s="138" t="n">
        <x:v>0.012546045825196089</x:v>
      </x:c>
      <x:c r="N12" s="138" t="n">
        <x:v>5.436001877454284</x:v>
      </x:c>
    </x:row>
    <x:row r="13">
      <x:c r="A13" s="136" t="str">
        <x:v>combined_adjusted_objective</x:v>
      </x:c>
      <x:c r="B13" s="160" t="n">
        <x:v>5.99</x:v>
      </x:c>
      <x:c r="C13" s="160" t="n">
        <x:v>0.002</x:v>
      </x:c>
      <x:c r="D13" s="160" t="n">
        <x:v>0.035</x:v>
      </x:c>
      <x:c r="E13" s="160" t="n">
        <x:f>(D13-C13)*100</x:f>
        <x:v>3.3000000000000003</x:v>
      </x:c>
      <x:c r="F13" s="290" t="b">
        <x:v>1</x:v>
      </x:c>
      <x:c r="G13" s="290" t="b">
        <x:v>1</x:v>
      </x:c>
      <x:c r="H13" s="160" t="n">
        <x:v>4</x:v>
      </x:c>
      <x:c r="I13" s="160" t="n">
        <x:v>11.20369216702824</x:v>
      </x:c>
      <x:c r="J13" s="160" t="n">
        <x:f>I13-H13</x:f>
        <x:v>7.20369216702824</x:v>
      </x:c>
      <x:c r="K13" s="290" t="b">
        <x:v>1</x:v>
      </x:c>
      <x:c r="L13" s="290" t="b">
        <x:v>0</x:v>
      </x:c>
      <x:c r="M13" s="139" t="n">
        <x:v>0.012546045825196089</x:v>
      </x:c>
      <x:c r="N13" s="139" t="n">
        <x:v>5.436001877454284</x:v>
      </x:c>
    </x:row>
    <x:row r="16">
      <x:c r="A16" s="119" t="str">
        <x:v>Adjusted 1D profile minima over Cn</x:v>
      </x:c>
      <x:c r="B16" s="119" t="str">
        <x:v>Adjusted 1D profile minima over Cn</x:v>
      </x:c>
      <x:c r="C16" s="119" t="str">
        <x:v>Adjusted 1D profile minima over Cn</x:v>
      </x:c>
      <x:c r="D16" s="119" t="str">
        <x:v>Adjusted 1D profile minima over Cn</x:v>
      </x:c>
      <x:c r="F16" s="147" t="str">
        <x:v>Adjusted 1D profile minima over Vcem</x:v>
      </x:c>
      <x:c r="G16" s="147" t="str">
        <x:v>Adjusted 1D profile minima over Vcem</x:v>
      </x:c>
      <x:c r="H16" s="147" t="str">
        <x:v>Adjusted 1D profile minima over Vcem</x:v>
      </x:c>
      <x:c r="I16" s="147" t="str">
        <x:v>Adjusted 1D profile minima over Vcem</x:v>
      </x:c>
    </x:row>
    <x:row r="17">
      <x:c r="A17" s="127" t="str">
        <x:v>Vcem (%)</x:v>
      </x:c>
      <x:c r="B17" s="128" t="str">
        <x:v>Static adjusted ΔΦ</x:v>
      </x:c>
      <x:c r="C17" s="128" t="str">
        <x:v>Combined adjusted ΔΦ</x:v>
      </x:c>
      <x:c r="D17" s="129" t="str">
        <x:v>Threshold 2.30</x:v>
      </x:c>
      <x:c r="F17" s="155" t="str">
        <x:v>Cn</x:v>
      </x:c>
      <x:c r="G17" s="156" t="str">
        <x:v>Static adjusted ΔΦ</x:v>
      </x:c>
      <x:c r="H17" s="156" t="str">
        <x:v>Combined adjusted ΔΦ</x:v>
      </x:c>
      <x:c r="I17" s="157" t="str">
        <x:v>Threshold 2.30</x:v>
      </x:c>
    </x:row>
    <x:row r="18">
      <x:c r="A18" s="158" t="str">
        <x:v>0.20</x:v>
      </x:c>
      <x:c r="B18" s="158" t="n">
        <x:v>0.009041726050681959</x:v>
      </x:c>
      <x:c r="C18" s="158" t="n">
        <x:v>0.037956092163721866</x:v>
      </x:c>
      <x:c r="D18" s="158" t="n">
        <x:v>2.3</x:v>
      </x:c>
      <x:c r="F18" s="158" t="str">
        <x:v>4.00</x:v>
      </x:c>
      <x:c r="G18" s="158" t="n">
        <x:v>0.6344123878346632</x:v>
      </x:c>
      <x:c r="H18" s="158" t="n">
        <x:v>1.3413244791921386</x:v>
      </x:c>
      <x:c r="I18" s="158" t="n">
        <x:v>2.3</x:v>
      </x:c>
    </x:row>
    <x:row r="19">
      <x:c r="A19" s="159" t="str">
        <x:v>0.31</x:v>
      </x:c>
      <x:c r="B19" s="159" t="n">
        <x:v>0.012402613626700476</x:v>
      </x:c>
      <x:c r="C19" s="159" t="n">
        <x:v>0.04162953996369989</x:v>
      </x:c>
      <x:c r="D19" s="159" t="n">
        <x:v>2.3</x:v>
      </x:c>
      <x:c r="F19" s="159" t="str">
        <x:v>4.14</x:v>
      </x:c>
      <x:c r="G19" s="159" t="n">
        <x:v>0.28323077488583603</x:v>
      </x:c>
      <x:c r="H19" s="159" t="n">
        <x:v>0.583605328910707</x:v>
      </x:c>
      <x:c r="I19" s="159" t="n">
        <x:v>2.3</x:v>
      </x:c>
    </x:row>
    <x:row r="20">
      <x:c r="A20" s="159" t="str">
        <x:v>0.42</x:v>
      </x:c>
      <x:c r="B20" s="159" t="n">
        <x:v>0.010381947020381144</x:v>
      </x:c>
      <x:c r="C20" s="159" t="n">
        <x:v>0.02553708986645198</x:v>
      </x:c>
      <x:c r="D20" s="159" t="n">
        <x:v>2.3</x:v>
      </x:c>
      <x:c r="F20" s="159" t="str">
        <x:v>4.28</x:v>
      </x:c>
      <x:c r="G20" s="159" t="n">
        <x:v>0.08001249346394834</x:v>
      </x:c>
      <x:c r="H20" s="159" t="n">
        <x:v>0.1697721329736055</x:v>
      </x:c>
      <x:c r="I20" s="159" t="n">
        <x:v>2.3</x:v>
      </x:c>
    </x:row>
    <x:row r="21">
      <x:c r="A21" s="159" t="str">
        <x:v>0.53</x:v>
      </x:c>
      <x:c r="B21" s="159" t="n">
        <x:v>0.00786357623240716</x:v>
      </x:c>
      <x:c r="C21" s="159" t="n">
        <x:v>0.018850742873816828</x:v>
      </x:c>
      <x:c r="D21" s="159" t="n">
        <x:v>2.3</x:v>
      </x:c>
      <x:c r="F21" s="159" t="str">
        <x:v>4.43</x:v>
      </x:c>
      <x:c r="G21" s="159" t="n">
        <x:v>0.022787173068987115</x:v>
      </x:c>
      <x:c r="H21" s="159" t="n">
        <x:v>0.06272171365616985</x:v>
      </x:c>
      <x:c r="I21" s="159" t="n">
        <x:v>2.3</x:v>
      </x:c>
    </x:row>
    <x:row r="22">
      <x:c r="A22" s="159" t="str">
        <x:v>0.64</x:v>
      </x:c>
      <x:c r="B22" s="159" t="n">
        <x:v>0.004283100557177066</x:v>
      </x:c>
      <x:c r="C22" s="159" t="n">
        <x:v>0.013978675463965695</x:v>
      </x:c>
      <x:c r="D22" s="159" t="n">
        <x:v>2.3</x:v>
      </x:c>
      <x:c r="F22" s="159" t="str">
        <x:v>4.59</x:v>
      </x:c>
      <x:c r="G22" s="159" t="n">
        <x:v>0.0114575459034391</x:v>
      </x:c>
      <x:c r="H22" s="159" t="n">
        <x:v>0.03259902489385591</x:v>
      </x:c>
      <x:c r="I22" s="159" t="n">
        <x:v>2.3</x:v>
      </x:c>
    </x:row>
    <x:row r="23">
      <x:c r="A23" s="159" t="str">
        <x:v>0.75</x:v>
      </x:c>
      <x:c r="B23" s="159" t="n">
        <x:v>0.002188174468620893</x:v>
      </x:c>
      <x:c r="C23" s="159" t="n">
        <x:v>0.005967055407863325</x:v>
      </x:c>
      <x:c r="D23" s="159" t="n">
        <x:v>2.3</x:v>
      </x:c>
      <x:c r="F23" s="159" t="str">
        <x:v>4.75</x:v>
      </x:c>
      <x:c r="G23" s="159" t="n">
        <x:v>0.005750374905030352</x:v>
      </x:c>
      <x:c r="H23" s="159" t="n">
        <x:v>0.018452858318614207</x:v>
      </x:c>
      <x:c r="I23" s="159" t="n">
        <x:v>2.3</x:v>
      </x:c>
    </x:row>
    <x:row r="24">
      <x:c r="A24" s="159" t="str">
        <x:v>0.86</x:v>
      </x:c>
      <x:c r="B24" s="159" t="n">
        <x:v>0.003652735057292869</x:v>
      </x:c>
      <x:c r="C24" s="159" t="n">
        <x:v>0.007834172045259269</x:v>
      </x:c>
      <x:c r="D24" s="159" t="n">
        <x:v>2.3</x:v>
      </x:c>
      <x:c r="F24" s="159" t="str">
        <x:v>4.91</x:v>
      </x:c>
      <x:c r="G24" s="159" t="n">
        <x:v>0.0034827704117348646</x:v>
      </x:c>
      <x:c r="H24" s="159" t="n">
        <x:v>0.01110795531044062</x:v>
      </x:c>
      <x:c r="I24" s="159" t="n">
        <x:v>2.3</x:v>
      </x:c>
    </x:row>
    <x:row r="25">
      <x:c r="A25" s="159" t="str">
        <x:v>0.97</x:v>
      </x:c>
      <x:c r="B25" s="159" t="n">
        <x:v>0.0017345210472986053</x:v>
      </x:c>
      <x:c r="C25" s="159" t="n">
        <x:v>0.0037361252007840906</x:v>
      </x:c>
      <x:c r="D25" s="159" t="n">
        <x:v>2.3</x:v>
      </x:c>
      <x:c r="F25" s="159" t="str">
        <x:v>5.09</x:v>
      </x:c>
      <x:c r="G25" s="159" t="n">
        <x:v>0.0013572377630398516</x:v>
      </x:c>
      <x:c r="H25" s="159" t="n">
        <x:v>0.003259785742439278</x:v>
      </x:c>
      <x:c r="I25" s="159" t="n">
        <x:v>2.3</x:v>
      </x:c>
    </x:row>
    <x:row r="26">
      <x:c r="A26" s="159" t="str">
        <x:v>1.08</x:v>
      </x:c>
      <x:c r="B26" s="159" t="n">
        <x:v>0.00032072424206901554</x:v>
      </x:c>
      <x:c r="C26" s="159" t="n">
        <x:v>0.0010062896511189023</x:v>
      </x:c>
      <x:c r="D26" s="159" t="n">
        <x:v>2.3</x:v>
      </x:c>
      <x:c r="F26" s="159" t="str">
        <x:v>5.26</x:v>
      </x:c>
      <x:c r="G26" s="159" t="n">
        <x:v>0.000809456229566425</x:v>
      </x:c>
      <x:c r="H26" s="159" t="n">
        <x:v>0.0016640059558774845</x:v>
      </x:c>
      <x:c r="I26" s="159" t="n">
        <x:v>2.3</x:v>
      </x:c>
    </x:row>
    <x:row r="27">
      <x:c r="A27" s="159" t="str">
        <x:v>1.19</x:v>
      </x:c>
      <x:c r="B27" s="159" t="n">
        <x:v>0.007776236196491038</x:v>
      </x:c>
      <x:c r="C27" s="159" t="n">
        <x:v>0.01677206815858545</x:v>
      </x:c>
      <x:c r="D27" s="159" t="n">
        <x:v>2.3</x:v>
      </x:c>
      <x:c r="F27" s="159" t="str">
        <x:v>5.44</x:v>
      </x:c>
      <x:c r="G27" s="159" t="n">
        <x:v>0</x:v>
      </x:c>
      <x:c r="H27" s="159" t="n">
        <x:v>0</x:v>
      </x:c>
      <x:c r="I27" s="159" t="n">
        <x:v>2.3</x:v>
      </x:c>
    </x:row>
    <x:row r="28">
      <x:c r="A28" s="159" t="str">
        <x:v>1.25</x:v>
      </x:c>
      <x:c r="B28" s="159" t="n">
        <x:v>0</x:v>
      </x:c>
      <x:c r="C28" s="159" t="n">
        <x:v>0</x:v>
      </x:c>
      <x:c r="D28" s="159" t="n">
        <x:v>2.3</x:v>
      </x:c>
      <x:c r="F28" s="159" t="str">
        <x:v>5.45</x:v>
      </x:c>
      <x:c r="G28" s="159" t="n">
        <x:v>0.0003168641631343741</x:v>
      </x:c>
      <x:c r="H28" s="159" t="n">
        <x:v>0.0006657719571388221</x:v>
      </x:c>
      <x:c r="I28" s="159" t="n">
        <x:v>2.3</x:v>
      </x:c>
    </x:row>
    <x:row r="29">
      <x:c r="A29" s="159" t="str">
        <x:v>1.30</x:v>
      </x:c>
      <x:c r="B29" s="159" t="n">
        <x:v>0.005007172136584803</x:v>
      </x:c>
      <x:c r="C29" s="159" t="n">
        <x:v>0.010649611170398421</x:v>
      </x:c>
      <x:c r="D29" s="159" t="n">
        <x:v>2.3</x:v>
      </x:c>
      <x:c r="F29" s="159" t="str">
        <x:v>5.64</x:v>
      </x:c>
      <x:c r="G29" s="159" t="n">
        <x:v>0.00032072424206901554</x:v>
      </x:c>
      <x:c r="H29" s="159" t="n">
        <x:v>0.0010062896511189023</x:v>
      </x:c>
      <x:c r="I29" s="159" t="n">
        <x:v>2.3</x:v>
      </x:c>
    </x:row>
    <x:row r="30">
      <x:c r="A30" s="159" t="str">
        <x:v>1.41</x:v>
      </x:c>
      <x:c r="B30" s="159" t="n">
        <x:v>0.000809456229566425</x:v>
      </x:c>
      <x:c r="C30" s="159" t="n">
        <x:v>0.0016640059558774845</x:v>
      </x:c>
      <x:c r="D30" s="159" t="n">
        <x:v>2.3</x:v>
      </x:c>
      <x:c r="F30" s="159" t="str">
        <x:v>5.84</x:v>
      </x:c>
      <x:c r="G30" s="159" t="n">
        <x:v>0.0017345210472986053</x:v>
      </x:c>
      <x:c r="H30" s="159" t="n">
        <x:v>0.0037361252007840906</x:v>
      </x:c>
      <x:c r="I30" s="159" t="n">
        <x:v>2.3</x:v>
      </x:c>
    </x:row>
    <x:row r="31">
      <x:c r="A31" s="159" t="str">
        <x:v>1.52</x:v>
      </x:c>
      <x:c r="B31" s="159" t="n">
        <x:v>0.014300242940733954</x:v>
      </x:c>
      <x:c r="C31" s="159" t="n">
        <x:v>0.03173425254699502</x:v>
      </x:c>
      <x:c r="D31" s="159" t="n">
        <x:v>2.3</x:v>
      </x:c>
      <x:c r="F31" s="159" t="str">
        <x:v>6.04</x:v>
      </x:c>
      <x:c r="G31" s="159" t="n">
        <x:v>0.003652735057292869</x:v>
      </x:c>
      <x:c r="H31" s="159" t="n">
        <x:v>0.007834172045259269</x:v>
      </x:c>
      <x:c r="I31" s="159" t="n">
        <x:v>2.3</x:v>
      </x:c>
    </x:row>
    <x:row r="32">
      <x:c r="A32" s="159" t="str">
        <x:v>1.63</x:v>
      </x:c>
      <x:c r="B32" s="159" t="n">
        <x:v>0.0013572377630398516</x:v>
      </x:c>
      <x:c r="C32" s="159" t="n">
        <x:v>0.003259785742439278</x:v>
      </x:c>
      <x:c r="D32" s="159" t="n">
        <x:v>2.3</x:v>
      </x:c>
      <x:c r="F32" s="159" t="str">
        <x:v>6.25</x:v>
      </x:c>
      <x:c r="G32" s="159" t="n">
        <x:v>0.002188174468620893</x:v>
      </x:c>
      <x:c r="H32" s="159" t="n">
        <x:v>0.005967055407863325</x:v>
      </x:c>
      <x:c r="I32" s="159" t="n">
        <x:v>2.3</x:v>
      </x:c>
    </x:row>
    <x:row r="33">
      <x:c r="A33" s="159" t="str">
        <x:v>1.74</x:v>
      </x:c>
      <x:c r="B33" s="159" t="n">
        <x:v>0.010161472951609907</x:v>
      </x:c>
      <x:c r="C33" s="159" t="n">
        <x:v>0.02473973628284787</x:v>
      </x:c>
      <x:c r="D33" s="159" t="n">
        <x:v>2.3</x:v>
      </x:c>
      <x:c r="F33" s="159" t="str">
        <x:v>6.47</x:v>
      </x:c>
      <x:c r="G33" s="159" t="n">
        <x:v>0.004283100557177066</x:v>
      </x:c>
      <x:c r="H33" s="159" t="n">
        <x:v>0.013978675463965695</x:v>
      </x:c>
      <x:c r="I33" s="159" t="n">
        <x:v>2.3</x:v>
      </x:c>
    </x:row>
    <x:row r="34">
      <x:c r="A34" s="159" t="str">
        <x:v>1.85</x:v>
      </x:c>
      <x:c r="B34" s="159" t="n">
        <x:v>0.0067612304063312395</x:v>
      </x:c>
      <x:c r="C34" s="159" t="n">
        <x:v>0.014336782460928177</x:v>
      </x:c>
      <x:c r="D34" s="159" t="n">
        <x:v>2.3</x:v>
      </x:c>
      <x:c r="F34" s="159" t="str">
        <x:v>6.69</x:v>
      </x:c>
      <x:c r="G34" s="159" t="n">
        <x:v>0.04234947634373576</x:v>
      </x:c>
      <x:c r="H34" s="159" t="n">
        <x:v>0.10343608458259013</x:v>
      </x:c>
      <x:c r="I34" s="159" t="n">
        <x:v>2.3</x:v>
      </x:c>
    </x:row>
    <x:row r="35">
      <x:c r="A35" s="159" t="str">
        <x:v>1.96</x:v>
      </x:c>
      <x:c r="B35" s="159" t="n">
        <x:v>0.0034827704117348646</x:v>
      </x:c>
      <x:c r="C35" s="159" t="n">
        <x:v>0.01110795531044062</x:v>
      </x:c>
      <x:c r="D35" s="159" t="n">
        <x:v>2.3</x:v>
      </x:c>
      <x:c r="F35" s="159" t="str">
        <x:v>6.93</x:v>
      </x:c>
      <x:c r="G35" s="159" t="n">
        <x:v>0.00786357623240716</x:v>
      </x:c>
      <x:c r="H35" s="159" t="n">
        <x:v>0.018850742873816828</x:v>
      </x:c>
      <x:c r="I35" s="159" t="n">
        <x:v>2.3</x:v>
      </x:c>
    </x:row>
    <x:row r="36">
      <x:c r="A36" s="159" t="str">
        <x:v>2.07</x:v>
      </x:c>
      <x:c r="B36" s="159" t="n">
        <x:v>0.0189559176780264</x:v>
      </x:c>
      <x:c r="C36" s="159" t="n">
        <x:v>0.047738656668027346</x:v>
      </x:c>
      <x:c r="D36" s="159" t="n">
        <x:v>2.3</x:v>
      </x:c>
      <x:c r="F36" s="159" t="str">
        <x:v>7.17</x:v>
      </x:c>
      <x:c r="G36" s="159" t="n">
        <x:v>0.039447188721896564</x:v>
      </x:c>
      <x:c r="H36" s="159" t="n">
        <x:v>0.10045598161639546</x:v>
      </x:c>
      <x:c r="I36" s="159" t="n">
        <x:v>2.3</x:v>
      </x:c>
    </x:row>
    <x:row r="37">
      <x:c r="A37" s="159" t="str">
        <x:v>2.18</x:v>
      </x:c>
      <x:c r="B37" s="159" t="n">
        <x:v>0.008625591326587224</x:v>
      </x:c>
      <x:c r="C37" s="159" t="n">
        <x:v>0.02002609271734035</x:v>
      </x:c>
      <x:c r="D37" s="159" t="n">
        <x:v>2.3</x:v>
      </x:c>
      <x:c r="F37" s="159" t="str">
        <x:v>7.42</x:v>
      </x:c>
      <x:c r="G37" s="159" t="n">
        <x:v>0.010381947020381144</x:v>
      </x:c>
      <x:c r="H37" s="159" t="n">
        <x:v>0.02553708986645198</x:v>
      </x:c>
      <x:c r="I37" s="159" t="n">
        <x:v>2.3</x:v>
      </x:c>
    </x:row>
    <x:row r="38">
      <x:c r="A38" s="159" t="str">
        <x:v>2.29</x:v>
      </x:c>
      <x:c r="B38" s="159" t="n">
        <x:v>0.005750374905030352</x:v>
      </x:c>
      <x:c r="C38" s="159" t="n">
        <x:v>0.018452858318614207</x:v>
      </x:c>
      <x:c r="D38" s="159" t="n">
        <x:v>2.3</x:v>
      </x:c>
      <x:c r="F38" s="159" t="str">
        <x:v>7.68</x:v>
      </x:c>
      <x:c r="G38" s="159" t="n">
        <x:v>0.12866696362269225</x:v>
      </x:c>
      <x:c r="H38" s="159" t="n">
        <x:v>0.2569498138625299</x:v>
      </x:c>
      <x:c r="I38" s="159" t="n">
        <x:v>2.3</x:v>
      </x:c>
    </x:row>
    <x:row r="39">
      <x:c r="A39" s="159" t="str">
        <x:v>2.40</x:v>
      </x:c>
      <x:c r="B39" s="159" t="n">
        <x:v>0.014870324764430731</x:v>
      </x:c>
      <x:c r="C39" s="159" t="n">
        <x:v>0.042448082584703783</x:v>
      </x:c>
      <x:c r="D39" s="159" t="n">
        <x:v>2.3</x:v>
      </x:c>
      <x:c r="F39" s="159" t="str">
        <x:v>7.95</x:v>
      </x:c>
      <x:c r="G39" s="159" t="n">
        <x:v>0.012402613626700476</x:v>
      </x:c>
      <x:c r="H39" s="159" t="n">
        <x:v>0.04162953996369989</x:v>
      </x:c>
      <x:c r="I39" s="159" t="n">
        <x:v>2.3</x:v>
      </x:c>
    </x:row>
    <x:row r="40">
      <x:c r="A40" s="159" t="str">
        <x:v>2.51</x:v>
      </x:c>
      <x:c r="B40" s="159" t="n">
        <x:v>0.022081669765963235</x:v>
      </x:c>
      <x:c r="C40" s="159" t="n">
        <x:v>0.04795360732635601</x:v>
      </x:c>
      <x:c r="D40" s="159" t="n">
        <x:v>2.3</x:v>
      </x:c>
      <x:c r="F40" s="159" t="str">
        <x:v>8.23</x:v>
      </x:c>
      <x:c r="G40" s="159" t="n">
        <x:v>0.03940047748229236</x:v>
      </x:c>
      <x:c r="H40" s="159" t="n">
        <x:v>0.08319151170808947</x:v>
      </x:c>
      <x:c r="I40" s="159" t="n">
        <x:v>2.3</x:v>
      </x:c>
    </x:row>
    <x:row r="41">
      <x:c r="A41" s="159" t="str">
        <x:v>2.62</x:v>
      </x:c>
      <x:c r="B41" s="159" t="n">
        <x:v>0.012603833200150679</x:v>
      </x:c>
      <x:c r="C41" s="159" t="n">
        <x:v>0.03259902489385591</x:v>
      </x:c>
      <x:c r="D41" s="159" t="n">
        <x:v>2.3</x:v>
      </x:c>
      <x:c r="F41" s="159" t="str">
        <x:v>8.51</x:v>
      </x:c>
      <x:c r="G41" s="159" t="n">
        <x:v>0.21493218289926563</x:v>
      </x:c>
      <x:c r="H41" s="159" t="n">
        <x:v>0.42739831963536545</x:v>
      </x:c>
      <x:c r="I41" s="159" t="n">
        <x:v>2.3</x:v>
      </x:c>
    </x:row>
    <x:row r="42">
      <x:c r="A42" s="159" t="str">
        <x:v>2.73</x:v>
      </x:c>
      <x:c r="B42" s="159" t="n">
        <x:v>0.0114575459034391</x:v>
      </x:c>
      <x:c r="C42" s="159" t="n">
        <x:v>0.03522976142739909</x:v>
      </x:c>
      <x:c r="D42" s="159" t="n">
        <x:v>2.3</x:v>
      </x:c>
      <x:c r="F42" s="159" t="str">
        <x:v>8.81</x:v>
      </x:c>
      <x:c r="G42" s="159" t="n">
        <x:v>0.10466657009150548</x:v>
      </x:c>
      <x:c r="H42" s="159" t="n">
        <x:v>0.261804437287843</x:v>
      </x:c>
      <x:c r="I42" s="159" t="n">
        <x:v>2.3</x:v>
      </x:c>
    </x:row>
    <x:row r="43">
      <x:c r="A43" s="159" t="str">
        <x:v>2.84</x:v>
      </x:c>
      <x:c r="B43" s="159" t="n">
        <x:v>0.017188392437881894</x:v>
      </x:c>
      <x:c r="C43" s="159" t="n">
        <x:v>0.0525305746519944</x:v>
      </x:c>
      <x:c r="D43" s="159" t="n">
        <x:v>2.3</x:v>
      </x:c>
      <x:c r="F43" s="159" t="str">
        <x:v>9.12</x:v>
      </x:c>
      <x:c r="G43" s="159" t="n">
        <x:v>0.009041726050681959</x:v>
      </x:c>
      <x:c r="H43" s="159" t="n">
        <x:v>0.037956092163721866</x:v>
      </x:c>
      <x:c r="I43" s="159" t="n">
        <x:v>2.3</x:v>
      </x:c>
    </x:row>
    <x:row r="44">
      <x:c r="A44" s="159" t="str">
        <x:v>2.95</x:v>
      </x:c>
      <x:c r="B44" s="159" t="n">
        <x:v>0.028564555602497044</x:v>
      </x:c>
      <x:c r="C44" s="159" t="n">
        <x:v>0.0817344670216027</x:v>
      </x:c>
      <x:c r="D44" s="159" t="n">
        <x:v>2.3</x:v>
      </x:c>
      <x:c r="F44" s="159" t="str">
        <x:v>9.44</x:v>
      </x:c>
      <x:c r="G44" s="159" t="n">
        <x:v>0.057564151017843734</x:v>
      </x:c>
      <x:c r="H44" s="159" t="n">
        <x:v>0.12198076200465913</x:v>
      </x:c>
      <x:c r="I44" s="159" t="n">
        <x:v>2.3</x:v>
      </x:c>
    </x:row>
    <x:row r="45">
      <x:c r="A45" s="159" t="str">
        <x:v>3.06</x:v>
      </x:c>
      <x:c r="B45" s="159" t="n">
        <x:v>0.03048646526808882</x:v>
      </x:c>
      <x:c r="C45" s="159" t="n">
        <x:v>0.07056559492052239</x:v>
      </x:c>
      <x:c r="D45" s="159" t="n">
        <x:v>2.3</x:v>
      </x:c>
      <x:c r="F45" s="159" t="str">
        <x:v>9.77</x:v>
      </x:c>
      <x:c r="G45" s="159" t="n">
        <x:v>0.25468167656280194</x:v>
      </x:c>
      <x:c r="H45" s="159" t="n">
        <x:v>0.5065963078359701</x:v>
      </x:c>
      <x:c r="I45" s="159" t="n">
        <x:v>2.3</x:v>
      </x:c>
    </x:row>
    <x:row r="46">
      <x:c r="A46" s="159" t="str">
        <x:v>3.17</x:v>
      </x:c>
      <x:c r="B46" s="159" t="n">
        <x:v>0.02442502159805287</x:v>
      </x:c>
      <x:c r="C46" s="159" t="n">
        <x:v>0.06272171365616985</x:v>
      </x:c>
      <x:c r="D46" s="159" t="n">
        <x:v>2.3</x:v>
      </x:c>
      <x:c r="F46" s="159" t="str">
        <x:v>10.11</x:v>
      </x:c>
      <x:c r="G46" s="159" t="n">
        <x:v>0.604917035237202</x:v>
      </x:c>
      <x:c r="H46" s="159" t="n">
        <x:v>1.1857900511996888</x:v>
      </x:c>
      <x:c r="I46" s="159" t="n">
        <x:v>2.3</x:v>
      </x:c>
    </x:row>
    <x:row r="47">
      <x:c r="A47" s="159" t="str">
        <x:v>3.28</x:v>
      </x:c>
      <x:c r="B47" s="159" t="n">
        <x:v>0.022787173068987115</x:v>
      </x:c>
      <x:c r="C47" s="159" t="n">
        <x:v>0.06442717496252981</x:v>
      </x:c>
      <x:c r="D47" s="159" t="n">
        <x:v>2.3</x:v>
      </x:c>
      <x:c r="F47" s="159" t="str">
        <x:v>10.46</x:v>
      </x:c>
      <x:c r="G47" s="159" t="n">
        <x:v>1.1128671167465711</x:v>
      </x:c>
      <x:c r="H47" s="159" t="n">
        <x:v>2.154685484015829</x:v>
      </x:c>
      <x:c r="I47" s="159" t="n">
        <x:v>2.3</x:v>
      </x:c>
    </x:row>
    <x:row r="48">
      <x:c r="A48" s="159" t="str">
        <x:v>3.39</x:v>
      </x:c>
      <x:c r="B48" s="159" t="n">
        <x:v>0.024843275961004913</x:v>
      </x:c>
      <x:c r="C48" s="159" t="n">
        <x:v>0.07403808107291221</x:v>
      </x:c>
      <x:c r="D48" s="159" t="n">
        <x:v>2.3</x:v>
      </x:c>
      <x:c r="F48" s="159" t="str">
        <x:v>10.83</x:v>
      </x:c>
      <x:c r="G48" s="159" t="n">
        <x:v>1.7832022945908648</x:v>
      </x:c>
      <x:c r="H48" s="159" t="n">
        <x:v>3.4094242547138833</x:v>
      </x:c>
      <x:c r="I48" s="159" t="n">
        <x:v>2.3</x:v>
      </x:c>
    </x:row>
    <x:row r="49">
      <x:c r="A49" s="160" t="str">
        <x:v>3.50</x:v>
      </x:c>
      <x:c r="B49" s="160" t="n">
        <x:v>0.02996369779131386</x:v>
      </x:c>
      <x:c r="C49" s="160" t="n">
        <x:v>0.09015103859835438</x:v>
      </x:c>
      <x:c r="D49" s="160" t="n">
        <x:v>2.3</x:v>
      </x:c>
      <x:c r="F49" s="159" t="str">
        <x:v>11.20</x:v>
      </x:c>
      <x:c r="G49" s="159" t="n">
        <x:v>2.620665842176024</x:v>
      </x:c>
      <x:c r="H49" s="159" t="n">
        <x:v>4.94706172885833</x:v>
      </x:c>
      <x:c r="I49" s="159" t="n">
        <x:v>2.3</x:v>
      </x:c>
    </x:row>
    <x:row r="50">
      <x:c r="F50" s="159" t="str">
        <x:v>11.60</x:v>
      </x:c>
      <x:c r="G50" s="159" t="n">
        <x:v>3.6300734581923564</x:v>
      </x:c>
      <x:c r="H50" s="159" t="n">
        <x:v>6.765474621967201</x:v>
      </x:c>
      <x:c r="I50" s="159" t="n">
        <x:v>2.3</x:v>
      </x:c>
    </x:row>
    <x:row r="51">
      <x:c r="F51" s="160" t="str">
        <x:v>12.00</x:v>
      </x:c>
      <x:c r="G51" s="160" t="n">
        <x:v>4.816312921793923</x:v>
      </x:c>
      <x:c r="H51" s="160" t="n">
        <x:v>8.863279377524577</x:v>
      </x:c>
      <x:c r="I51" s="160" t="n">
        <x:v>2.3</x:v>
      </x:c>
    </x:row>
    <x:row r="54">
      <x:c r="A54" s="183" t="str">
        <x:v>Censored widths are lower bounds. At ΔΦ = 2.30, adjusted Vcem support spans at least 3.300 percentage points for both static and combined objectives; adjusted Cn support spans at least 6.826 (static) and 6.460 (combined). The profiles are local-linear nuisance diagnostics, not fully nonlinear nuisance re-optimizations.</x:v>
      </x:c>
      <x:c r="B54" s="184"/>
      <x:c r="C54" s="184"/>
      <x:c r="D54" s="184"/>
      <x:c r="E54" s="184"/>
      <x:c r="F54" s="184"/>
      <x:c r="G54" s="184"/>
      <x:c r="H54" s="184"/>
      <x:c r="I54" s="185"/>
    </x:row>
    <x:row r="55">
      <x:c r="A55" s="186"/>
      <x:c r="B55" s="187"/>
      <x:c r="C55" s="187"/>
      <x:c r="D55" s="187"/>
      <x:c r="E55" s="187"/>
      <x:c r="F55" s="187"/>
      <x:c r="G55" s="187"/>
      <x:c r="H55" s="187"/>
      <x:c r="I55" s="188"/>
    </x:row>
    <x:row r="56">
      <x:c r="A56" s="186"/>
      <x:c r="B56" s="187"/>
      <x:c r="C56" s="187"/>
      <x:c r="D56" s="187"/>
      <x:c r="E56" s="187"/>
      <x:c r="F56" s="187"/>
      <x:c r="G56" s="187"/>
      <x:c r="H56" s="187"/>
      <x:c r="I56" s="188"/>
    </x:row>
    <x:row r="57">
      <x:c r="A57" s="189"/>
      <x:c r="B57" s="190"/>
      <x:c r="C57" s="190"/>
      <x:c r="D57" s="190"/>
      <x:c r="E57" s="190"/>
      <x:c r="F57" s="190"/>
      <x:c r="G57" s="190"/>
      <x:c r="H57" s="190"/>
      <x:c r="I57" s="191"/>
    </x:row>
  </x:sheetData>
  <x:mergeCells>
    <x:mergeCell ref="A1:T1"/>
    <x:mergeCell ref="A2:T2"/>
    <x:mergeCell ref="A4:N4"/>
    <x:mergeCell ref="A16:D16"/>
    <x:mergeCell ref="F16:I16"/>
    <x:mergeCell ref="A54:I57"/>
  </x:mergeCells>
  <x:conditionalFormatting sqref="F6:G13">
    <x:cfRule type="cellIs" dxfId="0" priority="1" operator="equal">
      <x:formula>TRUE</x:formula>
    </x:cfRule>
  </x:conditionalFormatting>
  <x:conditionalFormatting sqref="K6:L13">
    <x:cfRule type="cellIs" dxfId="1" priority="2" operator="equal">
      <x:formula>TRUE</x:formula>
    </x:cfRule>
  </x:conditionalFormatting>
  <x:pageMargins left="0.7" right="0.7" top="0.75" bottom="0.75" header="0.3" footer="0.3"/>
  <x:drawing xmlns:r="http://schemas.openxmlformats.org/officeDocument/2006/relationships" r:id="Rffb5509c531744e8"/>
  <x:tableParts count="3">
    <x:tablePart xmlns:r="http://schemas.openxmlformats.org/officeDocument/2006/relationships" r:id="R04b062555bd9411e"/>
    <x:tablePart xmlns:r="http://schemas.openxmlformats.org/officeDocument/2006/relationships" r:id="R7ff76f62587e4404"/>
    <x:tablePart xmlns:r="http://schemas.openxmlformats.org/officeDocument/2006/relationships" r:id="Re107ca02732c47e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8.890000343322754" hidden="0" customWidth="1"/>
    <x:col min="3" max="3" width="37.779998779296875" hidden="0" customWidth="1"/>
    <x:col min="4" max="4" width="33.33000183105469" hidden="0" customWidth="1"/>
    <x:col min="5" max="5" width="8.890000343322754" hidden="0" customWidth="1"/>
    <x:col min="6" max="6" width="12.779999732971191" hidden="0" customWidth="1"/>
    <x:col min="7" max="7" width="17.780000686645508" hidden="0" customWidth="1"/>
    <x:col min="8" max="8" width="19.440000534057617" hidden="0" customWidth="1"/>
    <x:col min="9" max="9" width="12.220000267028809" hidden="0" customWidth="1"/>
    <x:col min="10" max="10" width="12.779999732971191" hidden="0" customWidth="1"/>
    <x:col min="11" max="11" width="11.670000076293945" hidden="0" customWidth="1"/>
  </x:cols>
  <x:sheetData>
    <x:row r="1" ht="30" customHeight="1">
      <x:c r="A1" s="3" t="str">
        <x:v>Automated verification and numerical checks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Machine-readable E3 verification plus finite-difference stability of target and nuisance Jacobians.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>
      <x:c r="A4" s="292" t="str">
        <x:v>Status</x:v>
      </x:c>
      <x:c r="B4" s="292" t="str">
        <x:v>Passed</x:v>
      </x:c>
      <x:c r="C4" s="292" t="str">
        <x:v>Failed</x:v>
      </x:c>
      <x:c r="D4" s="292" t="str">
        <x:v>Total</x:v>
      </x:c>
      <x:c r="F4" s="147" t="str">
        <x:v>Finite-difference stability</x:v>
      </x:c>
      <x:c r="G4" s="147" t="str">
        <x:v>Finite-difference stability</x:v>
      </x:c>
      <x:c r="H4" s="147" t="str">
        <x:v>Finite-difference stability</x:v>
      </x:c>
      <x:c r="I4" s="147" t="str">
        <x:v>Finite-difference stability</x:v>
      </x:c>
      <x:c r="J4" s="147" t="str">
        <x:v>Finite-difference stability</x:v>
      </x:c>
      <x:c r="K4" s="147" t="str">
        <x:v>Finite-difference stability</x:v>
      </x:c>
    </x:row>
    <x:row r="5">
      <x:c r="A5" s="298" t="str">
        <x:f>IF(C5=0,"PASS","FAIL")</x:f>
        <x:v>PASS</x:v>
      </x:c>
      <x:c r="B5" s="299" t="n">
        <x:f>SUM(E10:E115)</x:f>
        <x:v>106</x:v>
      </x:c>
      <x:c r="C5" s="299" t="n">
        <x:f>D5-B5</x:f>
        <x:v>0</x:v>
      </x:c>
      <x:c r="D5" s="300" t="n">
        <x:f>MAX(A10:A115)</x:f>
        <x:v>106</x:v>
      </x:c>
      <x:c r="F5" s="155" t="str">
        <x:v>step</x:v>
      </x:c>
      <x:c r="G5" s="156" t="str">
        <x:v>target_relative_error_to_1e-4</x:v>
      </x:c>
      <x:c r="H5" s="156" t="str">
        <x:v>nuisance_relative_error_to_1e-4</x:v>
      </x:c>
      <x:c r="I5" s="156" t="str">
        <x:v>target_norm</x:v>
      </x:c>
      <x:c r="J5" s="156" t="str">
        <x:v>nuisance_norm</x:v>
      </x:c>
      <x:c r="K5" s="157" t="str">
        <x:v>n_nuisances</x:v>
      </x:c>
    </x:row>
    <x:row r="6">
      <x:c r="F6" s="301" t="n">
        <x:v>0.001</x:v>
      </x:c>
      <x:c r="G6" s="301" t="n">
        <x:v>6.270264842381283e-7</x:v>
      </x:c>
      <x:c r="H6" s="301" t="n">
        <x:v>0.0000017243121395859652</x:v>
      </x:c>
      <x:c r="I6" s="301" t="n">
        <x:v>0.4171039207707923</x:v>
      </x:c>
      <x:c r="J6" s="301" t="n">
        <x:v>0.13259346683477224</x:v>
      </x:c>
      <x:c r="K6" s="301" t="n">
        <x:v>16</x:v>
      </x:c>
    </x:row>
    <x:row r="7">
      <x:c r="F7" s="302" t="n">
        <x:v>0.0001</x:v>
      </x:c>
      <x:c r="G7" s="302" t="n">
        <x:v>0</x:v>
      </x:c>
      <x:c r="H7" s="302" t="n">
        <x:v>0</x:v>
      </x:c>
      <x:c r="I7" s="302" t="n">
        <x:v>0.41710370174628264</x:v>
      </x:c>
      <x:c r="J7" s="302" t="n">
        <x:v>0.1325934713511894</x:v>
      </x:c>
      <x:c r="K7" s="302" t="n">
        <x:v>16</x:v>
      </x:c>
    </x:row>
    <x:row r="8">
      <x:c r="A8" s="119" t="str">
        <x:v>Verification checks</x:v>
      </x:c>
      <x:c r="B8" s="119" t="str">
        <x:v>Verification checks</x:v>
      </x:c>
      <x:c r="C8" s="119" t="str">
        <x:v>Verification checks</x:v>
      </x:c>
      <x:c r="D8" s="119" t="str">
        <x:v>Verification checks</x:v>
      </x:c>
      <x:c r="E8" s="119" t="str">
        <x:v>Verification checks</x:v>
      </x:c>
      <x:c r="F8" s="303" t="n">
        <x:v>0.00001</x:v>
      </x:c>
      <x:c r="G8" s="303" t="n">
        <x:v>6.280405919052033e-9</x:v>
      </x:c>
      <x:c r="H8" s="303" t="n">
        <x:v>1.7250754459531057e-7</x:v>
      </x:c>
      <x:c r="I8" s="303" t="n">
        <x:v>0.4171036995523346</x:v>
      </x:c>
      <x:c r="J8" s="303" t="n">
        <x:v>0.13259347186522372</x:v>
      </x:c>
      <x:c r="K8" s="303" t="n">
        <x:v>16</x:v>
      </x:c>
    </x:row>
    <x:row r="9">
      <x:c r="A9" s="127" t="str">
        <x:v>ID</x:v>
      </x:c>
      <x:c r="B9" s="128" t="str">
        <x:v>Passed</x:v>
      </x:c>
      <x:c r="C9" s="128" t="str">
        <x:v>Check</x:v>
      </x:c>
      <x:c r="D9" s="128" t="str">
        <x:v>Detail</x:v>
      </x:c>
      <x:c r="E9" s="129" t="str">
        <x:v>Pass flag</x:v>
      </x:c>
    </x:row>
    <x:row r="10">
      <x:c r="A10" s="134" t="n">
        <x:v>1</x:v>
      </x:c>
      <x:c r="B10" s="289" t="b">
        <x:v>1</x:v>
      </x:c>
      <x:c r="C10" s="134" t="str">
        <x:v>analytic whitening target Gram</x:v>
      </x:c>
      <x:c r="D10" s="134" t="str"/>
      <x:c r="E10" s="134" t="n">
        <x:v>1</x:v>
      </x:c>
      <x:c r="F10" t="str">
        <x:v>Metric</x:v>
      </x:c>
      <x:c r="G10" t="str">
        <x:v>Maximum relative error</x:v>
      </x:c>
      <x:c r="H10" t="str">
        <x:v>Tolerance</x:v>
      </x:c>
    </x:row>
    <x:row r="11">
      <x:c r="A11" s="135" t="n">
        <x:v>2</x:v>
      </x:c>
      <x:c r="B11" s="252" t="b">
        <x:v>1</x:v>
      </x:c>
      <x:c r="C11" s="135" t="str">
        <x:v>analytic whitening target-nuisance cross product</x:v>
      </x:c>
      <x:c r="D11" s="135" t="str"/>
      <x:c r="E11" s="135" t="n">
        <x:v>1</x:v>
      </x:c>
      <x:c r="F11" t="str">
        <x:v>Target Jacobian</x:v>
      </x:c>
      <x:c r="G11" s="304" t="n">
        <x:f>MAX(G6:G8)</x:f>
        <x:v>6.270264842381283e-7</x:v>
      </x:c>
      <x:c r="H11" s="304" t="n">
        <x:v>0.00001</x:v>
      </x:c>
    </x:row>
    <x:row r="12">
      <x:c r="A12" s="135" t="n">
        <x:v>3</x:v>
      </x:c>
      <x:c r="B12" s="252" t="b">
        <x:v>1</x:v>
      </x:c>
      <x:c r="C12" s="135" t="str">
        <x:v>analytic whitening nuisance Gram</x:v>
      </x:c>
      <x:c r="D12" s="135" t="str"/>
      <x:c r="E12" s="135" t="n">
        <x:v>1</x:v>
      </x:c>
      <x:c r="F12" t="str">
        <x:v>Nuisance Jacobian</x:v>
      </x:c>
      <x:c r="G12" s="304" t="n">
        <x:f>MAX(H6:H8)</x:f>
        <x:v>0.0000017243121395859652</x:v>
      </x:c>
      <x:c r="H12" s="304" t="n">
        <x:v>0.00001</x:v>
      </x:c>
    </x:row>
    <x:row r="13">
      <x:c r="A13" s="135" t="n">
        <x:v>4</x:v>
      </x:c>
      <x:c r="B13" s="252" t="b">
        <x:v>1</x:v>
      </x:c>
      <x:c r="C13" s="135" t="str">
        <x:v>Schur-Woodbury equivalence</x:v>
      </x:c>
      <x:c r="D13" s="135" t="str"/>
      <x:c r="E13" s="135" t="n">
        <x:v>1</x:v>
      </x:c>
    </x:row>
    <x:row r="14">
      <x:c r="A14" s="135" t="n">
        <x:v>5</x:v>
      </x:c>
      <x:c r="B14" s="252" t="b">
        <x:v>1</x:v>
      </x:c>
      <x:c r="C14" s="135" t="str">
        <x:v>sample count 19A</x:v>
      </x:c>
      <x:c r="D14" s="135" t="str"/>
      <x:c r="E14" s="135" t="n">
        <x:v>1</x:v>
      </x:c>
    </x:row>
    <x:row r="15">
      <x:c r="A15" s="135" t="n">
        <x:v>6</x:v>
      </x:c>
      <x:c r="B15" s="252" t="b">
        <x:v>1</x:v>
      </x:c>
      <x:c r="C15" s="135" t="str">
        <x:v>sample count BT2</x:v>
      </x:c>
      <x:c r="D15" s="135" t="str"/>
      <x:c r="E15" s="135" t="n">
        <x:v>1</x:v>
      </x:c>
    </x:row>
    <x:row r="16">
      <x:c r="A16" s="135" t="n">
        <x:v>7</x:v>
      </x:c>
      <x:c r="B16" s="252" t="b">
        <x:v>1</x:v>
      </x:c>
      <x:c r="C16" s="135" t="str">
        <x:v>pooled sample count</x:v>
      </x:c>
      <x:c r="D16" s="135" t="str"/>
      <x:c r="E16" s="135" t="n">
        <x:v>1</x:v>
      </x:c>
    </x:row>
    <x:row r="17">
      <x:c r="A17" s="135" t="n">
        <x:v>8</x:v>
      </x:c>
      <x:c r="B17" s="252" t="b">
        <x:v>1</x:v>
      </x:c>
      <x:c r="C17" s="135" t="str">
        <x:v>E1 Vcem anchor</x:v>
      </x:c>
      <x:c r="D17" s="135" t="str">
        <x:v>0.012546045825196089</x:v>
      </x:c>
      <x:c r="E17" s="135" t="n">
        <x:v>1</x:v>
      </x:c>
    </x:row>
    <x:row r="18">
      <x:c r="A18" s="135" t="n">
        <x:v>9</x:v>
      </x:c>
      <x:c r="B18" s="252" t="b">
        <x:v>1</x:v>
      </x:c>
      <x:c r="C18" s="135" t="str">
        <x:v>E1 Cn anchor</x:v>
      </x:c>
      <x:c r="D18" s="135" t="str">
        <x:v>5.436001877454284</x:v>
      </x:c>
      <x:c r="E18" s="135" t="n">
        <x:v>1</x:v>
      </x:c>
    </x:row>
    <x:row r="19">
      <x:c r="A19" s="135" t="n">
        <x:v>10</x:v>
      </x:c>
      <x:c r="B19" s="252" t="b">
        <x:v>1</x:v>
      </x:c>
      <x:c r="C19" s="135" t="str">
        <x:v>E1 adjusted lambda-min anchor</x:v>
      </x:c>
      <x:c r="D19" s="135" t="str"/>
      <x:c r="E19" s="135" t="n">
        <x:v>1</x:v>
      </x:c>
    </x:row>
    <x:row r="20">
      <x:c r="A20" s="135" t="n">
        <x:v>11</x:v>
      </x:c>
      <x:c r="B20" s="252" t="b">
        <x:v>1</x:v>
      </x:c>
      <x:c r="C20" s="135" t="str">
        <x:v>E1 A anchor</x:v>
      </x:c>
      <x:c r="D20" s="135" t="str"/>
      <x:c r="E20" s="135" t="n">
        <x:v>1</x:v>
      </x:c>
    </x:row>
    <x:row r="21">
      <x:c r="A21" s="135" t="n">
        <x:v>12</x:v>
      </x:c>
      <x:c r="B21" s="252" t="b">
        <x:v>1</x:v>
      </x:c>
      <x:c r="C21" s="135" t="str">
        <x:v>E1 Gamma anchor</x:v>
      </x:c>
      <x:c r="D21" s="135" t="str"/>
      <x:c r="E21" s="135" t="n">
        <x:v>1</x:v>
      </x:c>
    </x:row>
    <x:row r="22">
      <x:c r="A22" s="135" t="n">
        <x:v>13</x:v>
      </x:c>
      <x:c r="B22" s="252" t="b">
        <x:v>1</x:v>
      </x:c>
      <x:c r="C22" s="135" t="str">
        <x:v>provenance hash E1_expected_summary_sha256</x:v>
      </x:c>
      <x:c r="D22" s="135" t="str">
        <x:v>9ecc0afdbc5fdcc04910d46597f217af8b1e9d62811774d5ce993066f5b6d55b</x:v>
      </x:c>
      <x:c r="E22" s="135" t="n">
        <x:v>1</x:v>
      </x:c>
    </x:row>
    <x:row r="23">
      <x:c r="A23" s="135" t="n">
        <x:v>14</x:v>
      </x:c>
      <x:c r="B23" s="252" t="b">
        <x:v>1</x:v>
      </x:c>
      <x:c r="C23" s="135" t="str">
        <x:v>provenance hash E2_summary_sha256</x:v>
      </x:c>
      <x:c r="D23" s="135" t="str">
        <x:v>d8318e8737cb92ec7b70bf926a2458f960a5b7bfbdb79d130dc4de441d2d4383</x:v>
      </x:c>
      <x:c r="E23" s="135" t="n">
        <x:v>1</x:v>
      </x:c>
    </x:row>
    <x:row r="24">
      <x:c r="A24" s="135" t="n">
        <x:v>15</x:v>
      </x:c>
      <x:c r="B24" s="252" t="b">
        <x:v>1</x:v>
      </x:c>
      <x:c r="C24" s="135" t="str">
        <x:v>provenance hash E2_bootstrap_replicates_sha256</x:v>
      </x:c>
      <x:c r="D24" s="135" t="str">
        <x:v>b0f1771418a06824aaee97996f4a6d40d4de4ff2229c15d519979e1a37222d91</x:v>
      </x:c>
      <x:c r="E24" s="135" t="n">
        <x:v>1</x:v>
      </x:c>
    </x:row>
    <x:row r="25">
      <x:c r="A25" s="135" t="n">
        <x:v>16</x:v>
      </x:c>
      <x:c r="B25" s="252" t="b">
        <x:v>1</x:v>
      </x:c>
      <x:c r="C25" s="135" t="str">
        <x:v>provenance hash rpia_core_sha256</x:v>
      </x:c>
      <x:c r="D25" s="135" t="str">
        <x:v>b41a6ec9471ffccb03d586cb8c8c1231a937a909e72f3aeb9434b03b2d1ab80a</x:v>
      </x:c>
      <x:c r="E25" s="135" t="n">
        <x:v>1</x:v>
      </x:c>
    </x:row>
    <x:row r="26">
      <x:c r="A26" s="135" t="n">
        <x:v>17</x:v>
      </x:c>
      <x:c r="B26" s="252" t="b">
        <x:v>1</x:v>
      </x:c>
      <x:c r="C26" s="135" t="str">
        <x:v>pressure extension recovers frozen model at P0</x:v>
      </x:c>
      <x:c r="D26" s="135" t="str">
        <x:v>0.0</x:v>
      </x:c>
      <x:c r="E26" s="135" t="n">
        <x:v>1</x:v>
      </x:c>
    </x:row>
    <x:row r="27">
      <x:c r="A27" s="135" t="n">
        <x:v>18</x:v>
      </x:c>
      <x:c r="B27" s="252" t="b">
        <x:v>1</x:v>
      </x:c>
      <x:c r="C27" s="135" t="str">
        <x:v>frozen pressure audit is exactly zero</x:v>
      </x:c>
      <x:c r="D27" s="135" t="str">
        <x:v>0.0</x:v>
      </x:c>
      <x:c r="E27" s="135" t="n">
        <x:v>1</x:v>
      </x:c>
    </x:row>
    <x:row r="28">
      <x:c r="A28" s="135" t="n">
        <x:v>19</x:v>
      </x:c>
      <x:c r="B28" s="252" t="b">
        <x:v>1</x:v>
      </x:c>
      <x:c r="C28" s="135" t="str">
        <x:v>summary frozen no-go matches audit</x:v>
      </x:c>
      <x:c r="D28" s="135" t="str"/>
      <x:c r="E28" s="135" t="n">
        <x:v>1</x:v>
      </x:c>
    </x:row>
    <x:row r="29">
      <x:c r="A29" s="135" t="n">
        <x:v>20</x:v>
      </x:c>
      <x:c r="B29" s="252" t="b">
        <x:v>1</x:v>
      </x:c>
      <x:c r="C29" s="135" t="str">
        <x:v>no-go adds no raw direction</x:v>
      </x:c>
      <x:c r="D29" s="135" t="str"/>
      <x:c r="E29" s="135" t="n">
        <x:v>1</x:v>
      </x:c>
    </x:row>
    <x:row r="30">
      <x:c r="A30" s="135" t="n">
        <x:v>21</x:v>
      </x:c>
      <x:c r="B30" s="252" t="b">
        <x:v>1</x:v>
      </x:c>
      <x:c r="C30" s="135" t="str">
        <x:v>no-go target rank stays two</x:v>
      </x:c>
      <x:c r="D30" s="135" t="str"/>
      <x:c r="E30" s="135" t="n">
        <x:v>1</x:v>
      </x:c>
    </x:row>
    <x:row r="31">
      <x:c r="A31" s="135" t="n">
        <x:v>22</x:v>
      </x:c>
      <x:c r="B31" s="252" t="b">
        <x:v>1</x:v>
      </x:c>
      <x:c r="C31" s="135" t="str">
        <x:v>no-go flag stays zero</x:v>
      </x:c>
      <x:c r="D31" s="135" t="str"/>
      <x:c r="E31" s="135" t="n">
        <x:v>1</x:v>
      </x:c>
    </x:row>
    <x:row r="32">
      <x:c r="A32" s="135" t="n">
        <x:v>23</x:v>
      </x:c>
      <x:c r="B32" s="252" t="b">
        <x:v>1</x:v>
      </x:c>
      <x:c r="C32" s="135" t="str">
        <x:v>frozen Vp curve is flat</x:v>
      </x:c>
      <x:c r="D32" s="135" t="str"/>
      <x:c r="E32" s="135" t="n">
        <x:v>1</x:v>
      </x:c>
    </x:row>
    <x:row r="33">
      <x:c r="A33" s="135" t="n">
        <x:v>24</x:v>
      </x:c>
      <x:c r="B33" s="252" t="b">
        <x:v>1</x:v>
      </x:c>
      <x:c r="C33" s="135" t="str">
        <x:v>frozen Vs curve is flat</x:v>
      </x:c>
      <x:c r="D33" s="135" t="str"/>
      <x:c r="E33" s="135" t="n">
        <x:v>1</x:v>
      </x:c>
    </x:row>
    <x:row r="34">
      <x:c r="A34" s="135" t="n">
        <x:v>25</x:v>
      </x:c>
      <x:c r="B34" s="252" t="b">
        <x:v>1</x:v>
      </x:c>
      <x:c r="C34" s="135" t="str">
        <x:v>pressure curve is anchored at the RPIA pressure</x:v>
      </x:c>
      <x:c r="D34" s="135" t="str"/>
      <x:c r="E34" s="135" t="n">
        <x:v>1</x:v>
      </x:c>
    </x:row>
    <x:row r="35">
      <x:c r="A35" s="135" t="n">
        <x:v>26</x:v>
      </x:c>
      <x:c r="B35" s="252" t="b">
        <x:v>1</x:v>
      </x:c>
      <x:c r="C35" s="135" t="str">
        <x:v>pressure extension is non-flat</x:v>
      </x:c>
      <x:c r="D35" s="135" t="str"/>
      <x:c r="E35" s="135" t="n">
        <x:v>1</x:v>
      </x:c>
    </x:row>
    <x:row r="36">
      <x:c r="A36" s="135" t="n">
        <x:v>27</x:v>
      </x:c>
      <x:c r="B36" s="252" t="b">
        <x:v>1</x:v>
      </x:c>
      <x:c r="C36" s="135" t="str">
        <x:v>bulk bounding weights are physical</x:v>
      </x:c>
      <x:c r="D36" s="135" t="str"/>
      <x:c r="E36" s="135" t="n">
        <x:v>1</x:v>
      </x:c>
    </x:row>
    <x:row r="37">
      <x:c r="A37" s="135" t="n">
        <x:v>28</x:v>
      </x:c>
      <x:c r="B37" s="252" t="b">
        <x:v>1</x:v>
      </x:c>
      <x:c r="C37" s="135" t="str">
        <x:v>shear bounding weights are physical</x:v>
      </x:c>
      <x:c r="D37" s="135" t="str"/>
      <x:c r="E37" s="135" t="n">
        <x:v>1</x:v>
      </x:c>
    </x:row>
    <x:row r="38">
      <x:c r="A38" s="135" t="n">
        <x:v>29</x:v>
      </x:c>
      <x:c r="B38" s="252" t="b">
        <x:v>1</x:v>
      </x:c>
      <x:c r="C38" s="135" t="str">
        <x:v>bounding-weight stress metrics are finite</x:v>
      </x:c>
      <x:c r="D38" s="135" t="str"/>
      <x:c r="E38" s="135" t="n">
        <x:v>1</x:v>
      </x:c>
    </x:row>
    <x:row r="39">
      <x:c r="A39" s="135" t="n">
        <x:v>30</x:v>
      </x:c>
      <x:c r="B39" s="252" t="b">
        <x:v>1</x:v>
      </x:c>
      <x:c r="C39" s="135" t="str">
        <x:v>design grid has finite metrics</x:v>
      </x:c>
      <x:c r="D39" s="135" t="str"/>
      <x:c r="E39" s="135" t="n">
        <x:v>1</x:v>
      </x:c>
    </x:row>
    <x:row r="40">
      <x:c r="A40" s="135" t="n">
        <x:v>31</x:v>
      </x:c>
      <x:c r="B40" s="252" t="b">
        <x:v>1</x:v>
      </x:c>
      <x:c r="C40" s="135" t="str">
        <x:v>all adjusted eigenvalues are positive</x:v>
      </x:c>
      <x:c r="D40" s="135" t="str"/>
      <x:c r="E40" s="135" t="n">
        <x:v>1</x:v>
      </x:c>
    </x:row>
    <x:row r="41">
      <x:c r="A41" s="135" t="n">
        <x:v>32</x:v>
      </x:c>
      <x:c r="B41" s="252" t="b">
        <x:v>1</x:v>
      </x:c>
      <x:c r="C41" s="135" t="str">
        <x:v>pressure pairs are strictly ordered</x:v>
      </x:c>
      <x:c r="D41" s="135" t="str"/>
      <x:c r="E41" s="135" t="n">
        <x:v>1</x:v>
      </x:c>
    </x:row>
    <x:row r="42">
      <x:c r="A42" s="135" t="n">
        <x:v>33</x:v>
      </x:c>
      <x:c r="B42" s="252" t="b">
        <x:v>1</x:v>
      </x:c>
      <x:c r="C42" s="135" t="str">
        <x:v>E-optimal primary pair is 5 and 7.5 MPa</x:v>
      </x:c>
      <x:c r="D42" s="135" t="str">
        <x:v>(5.0, 7.5)</x:v>
      </x:c>
      <x:c r="E42" s="135" t="n">
        <x:v>1</x:v>
      </x:c>
    </x:row>
    <x:row r="43">
      <x:c r="A43" s="135" t="n">
        <x:v>34</x:v>
      </x:c>
      <x:c r="B43" s="252" t="b">
        <x:v>1</x:v>
      </x:c>
      <x:c r="C43" s="135" t="str">
        <x:v>summary pair matches direct grid optimum</x:v>
      </x:c>
      <x:c r="D43" s="135" t="str"/>
      <x:c r="E43" s="135" t="n">
        <x:v>1</x:v>
      </x:c>
    </x:row>
    <x:row r="44">
      <x:c r="A44" s="135" t="n">
        <x:v>35</x:v>
      </x:c>
      <x:c r="B44" s="252" t="b">
        <x:v>1</x:v>
      </x:c>
      <x:c r="C44" s="135" t="str">
        <x:v>summary lambda-min matches design grid</x:v>
      </x:c>
      <x:c r="D44" s="135" t="str"/>
      <x:c r="E44" s="135" t="n">
        <x:v>1</x:v>
      </x:c>
    </x:row>
    <x:row r="45">
      <x:c r="A45" s="135" t="n">
        <x:v>36</x:v>
      </x:c>
      <x:c r="B45" s="252" t="b">
        <x:v>1</x:v>
      </x:c>
      <x:c r="C45" s="135" t="str">
        <x:v>summary gain matches design grid</x:v>
      </x:c>
      <x:c r="D45" s="135" t="str"/>
      <x:c r="E45" s="135" t="n">
        <x:v>1</x:v>
      </x:c>
    </x:row>
    <x:row r="46">
      <x:c r="A46" s="135" t="n">
        <x:v>37</x:v>
      </x:c>
      <x:c r="B46" s="252" t="b">
        <x:v>1</x:v>
      </x:c>
      <x:c r="C46" s="135" t="str">
        <x:v>primary gain exceeds one</x:v>
      </x:c>
      <x:c r="D46" s="135" t="str"/>
      <x:c r="E46" s="135" t="n">
        <x:v>1</x:v>
      </x:c>
    </x:row>
    <x:row r="47">
      <x:c r="A47" s="135" t="n">
        <x:v>38</x:v>
      </x:c>
      <x:c r="B47" s="252" t="b">
        <x:v>1</x:v>
      </x:c>
      <x:c r="C47" s="135" t="str">
        <x:v>primary spectral ratio remains below one</x:v>
      </x:c>
      <x:c r="D47" s="135" t="str"/>
      <x:c r="E47" s="135" t="n">
        <x:v>1</x:v>
      </x:c>
    </x:row>
    <x:row r="48">
      <x:c r="A48" s="135" t="n">
        <x:v>39</x:v>
      </x:c>
      <x:c r="B48" s="252" t="b">
        <x:v>1</x:v>
      </x:c>
      <x:c r="C48" s="135" t="str">
        <x:v>summary JSON contains no non-standard NaN tokens</x:v>
      </x:c>
      <x:c r="D48" s="135" t="str"/>
      <x:c r="E48" s="135" t="n">
        <x:v>1</x:v>
      </x:c>
    </x:row>
    <x:row r="49">
      <x:c r="A49" s="135" t="n">
        <x:v>40</x:v>
      </x:c>
      <x:c r="B49" s="252" t="b">
        <x:v>1</x:v>
      </x:c>
      <x:c r="C49" s="135" t="str">
        <x:v>selected pair touches candidate boundary</x:v>
      </x:c>
      <x:c r="D49" s="135" t="str"/>
      <x:c r="E49" s="135" t="n">
        <x:v>1</x:v>
      </x:c>
    </x:row>
    <x:row r="50">
      <x:c r="A50" s="135" t="n">
        <x:v>41</x:v>
      </x:c>
      <x:c r="B50" s="252" t="b">
        <x:v>1</x:v>
      </x:c>
      <x:c r="C50" s="135" t="str">
        <x:v>selected pair does not span full candidate range</x:v>
      </x:c>
      <x:c r="D50" s="135" t="str"/>
      <x:c r="E50" s="135" t="n">
        <x:v>1</x:v>
      </x:c>
    </x:row>
    <x:row r="51">
      <x:c r="A51" s="135" t="n">
        <x:v>42</x:v>
      </x:c>
      <x:c r="B51" s="252" t="b">
        <x:v>1</x:v>
      </x:c>
      <x:c r="C51" s="135" t="str">
        <x:v>full discrepancy gain decreases monotonically</x:v>
      </x:c>
      <x:c r="D51" s="135" t="str"/>
      <x:c r="E51" s="135" t="n">
        <x:v>1</x:v>
      </x:c>
    </x:row>
    <x:row r="52">
      <x:c r="A52" s="135" t="n">
        <x:v>43</x:v>
      </x:c>
      <x:c r="B52" s="252" t="b">
        <x:v>1</x:v>
      </x:c>
      <x:c r="C52" s="135" t="str">
        <x:v>porosity discrepancy does not increase gain</x:v>
      </x:c>
      <x:c r="D52" s="135" t="str"/>
      <x:c r="E52" s="135" t="n">
        <x:v>1</x:v>
      </x:c>
    </x:row>
    <x:row r="53">
      <x:c r="A53" s="135" t="n">
        <x:v>44</x:v>
      </x:c>
      <x:c r="B53" s="252" t="b">
        <x:v>1</x:v>
      </x:c>
      <x:c r="C53" s="135" t="str">
        <x:v>clay discrepancy does not increase gain</x:v>
      </x:c>
      <x:c r="D53" s="135" t="str"/>
      <x:c r="E53" s="135" t="n">
        <x:v>1</x:v>
      </x:c>
    </x:row>
    <x:row r="54">
      <x:c r="A54" s="135" t="n">
        <x:v>45</x:v>
      </x:c>
      <x:c r="B54" s="252" t="b">
        <x:v>1</x:v>
      </x:c>
      <x:c r="C54" s="135" t="str">
        <x:v>primary gain remains positive at 5% discrepancy</x:v>
      </x:c>
      <x:c r="D54" s="135" t="str"/>
      <x:c r="E54" s="135" t="n">
        <x:v>1</x:v>
      </x:c>
    </x:row>
    <x:row r="55">
      <x:c r="A55" s="135" t="n">
        <x:v>46</x:v>
      </x:c>
      <x:c r="B55" s="252" t="b">
        <x:v>1</x:v>
      </x:c>
      <x:c r="C55" s="135" t="str">
        <x:v>independent soft fabric is more conservative than shared</x:v>
      </x:c>
      <x:c r="D55" s="135" t="str"/>
      <x:c r="E55" s="135" t="n">
        <x:v>1</x:v>
      </x:c>
    </x:row>
    <x:row r="56">
      <x:c r="A56" s="135" t="n">
        <x:v>47</x:v>
      </x:c>
      <x:c r="B56" s="252" t="b">
        <x:v>1</x:v>
      </x:c>
      <x:c r="C56" s="135" t="str">
        <x:v>independent soft fabric is more conservative than fixed</x:v>
      </x:c>
      <x:c r="D56" s="135" t="str"/>
      <x:c r="E56" s="135" t="n">
        <x:v>1</x:v>
      </x:c>
    </x:row>
    <x:row r="57">
      <x:c r="A57" s="135" t="n">
        <x:v>48</x:v>
      </x:c>
      <x:c r="B57" s="252" t="b">
        <x:v>1</x:v>
      </x:c>
      <x:c r="C57" s="135" t="str">
        <x:v>expanded fabric adjustment is most conservative</x:v>
      </x:c>
      <x:c r="D57" s="135" t="str"/>
      <x:c r="E57" s="135" t="n">
        <x:v>1</x:v>
      </x:c>
    </x:row>
    <x:row r="58">
      <x:c r="A58" s="135" t="n">
        <x:v>49</x:v>
      </x:c>
      <x:c r="B58" s="252" t="b">
        <x:v>1</x:v>
      </x:c>
      <x:c r="C58" s="135" t="str">
        <x:v>expanded fabric gain remains modest</x:v>
      </x:c>
      <x:c r="D58" s="135" t="str"/>
      <x:c r="E58" s="135" t="n">
        <x:v>1</x:v>
      </x:c>
    </x:row>
    <x:row r="59">
      <x:c r="A59" s="135" t="n">
        <x:v>50</x:v>
      </x:c>
      <x:c r="B59" s="252" t="b">
        <x:v>1</x:v>
      </x:c>
      <x:c r="C59" s="135" t="str">
        <x:v>reference-pressure control has 12 rows</x:v>
      </x:c>
      <x:c r="D59" s="135" t="str"/>
      <x:c r="E59" s="135" t="n">
        <x:v>1</x:v>
      </x:c>
    </x:row>
    <x:row r="60">
      <x:c r="A60" s="135" t="n">
        <x:v>51</x:v>
      </x:c>
      <x:c r="B60" s="252" t="b">
        <x:v>1</x:v>
      </x:c>
      <x:c r="C60" s="135" t="str">
        <x:v>reference-pressure gains are finite</x:v>
      </x:c>
      <x:c r="D60" s="135" t="str"/>
      <x:c r="E60" s="135" t="n">
        <x:v>1</x:v>
      </x:c>
    </x:row>
    <x:row r="61">
      <x:c r="A61" s="135" t="n">
        <x:v>52</x:v>
      </x:c>
      <x:c r="B61" s="252" t="b">
        <x:v>1</x:v>
      </x:c>
      <x:c r="C61" s="135" t="str">
        <x:v>target-aligned discrepancy reduces apparent gain</x:v>
      </x:c>
      <x:c r="D61" s="135" t="str"/>
      <x:c r="E61" s="135" t="n">
        <x:v>1</x:v>
      </x:c>
    </x:row>
    <x:row r="62">
      <x:c r="A62" s="135" t="n">
        <x:v>53</x:v>
      </x:c>
      <x:c r="B62" s="252" t="b">
        <x:v>1</x:v>
      </x:c>
      <x:c r="C62" s="135" t="str">
        <x:v>one-percent target-aligned spectral ratio is below static baseline</x:v>
      </x:c>
      <x:c r="D62" s="135" t="str"/>
      <x:c r="E62" s="135" t="n">
        <x:v>1</x:v>
      </x:c>
    </x:row>
    <x:row r="63">
      <x:c r="A63" s="135" t="n">
        <x:v>54</x:v>
      </x:c>
      <x:c r="B63" s="252" t="b">
        <x:v>1</x:v>
      </x:c>
      <x:c r="C63" s="135" t="str">
        <x:v>trajectory-specific control has four rows</x:v>
      </x:c>
      <x:c r="D63" s="135" t="str"/>
      <x:c r="E63" s="135" t="n">
        <x:v>1</x:v>
      </x:c>
    </x:row>
    <x:row r="64">
      <x:c r="A64" s="135" t="n">
        <x:v>55</x:v>
      </x:c>
      <x:c r="B64" s="252" t="b">
        <x:v>1</x:v>
      </x:c>
      <x:c r="C64" s="135" t="str">
        <x:v>trajectory-specific primary gains are finite</x:v>
      </x:c>
      <x:c r="D64" s="135" t="str"/>
      <x:c r="E64" s="135" t="n">
        <x:v>1</x:v>
      </x:c>
    </x:row>
    <x:row r="65">
      <x:c r="A65" s="135" t="n">
        <x:v>56</x:v>
      </x:c>
      <x:c r="B65" s="252" t="b">
        <x:v>1</x:v>
      </x:c>
      <x:c r="C65" s="135" t="str">
        <x:v>multi-fluid control is weak</x:v>
      </x:c>
      <x:c r="D65" s="135" t="str"/>
      <x:c r="E65" s="135" t="n">
        <x:v>1</x:v>
      </x:c>
    </x:row>
    <x:row r="66">
      <x:c r="A66" s="135" t="n">
        <x:v>57</x:v>
      </x:c>
      <x:c r="B66" s="252" t="b">
        <x:v>1</x:v>
      </x:c>
      <x:c r="C66" s="135" t="str">
        <x:v>q-star proxy adds essentially no weak direction</x:v>
      </x:c>
      <x:c r="D66" s="135" t="str">
        <x:v>1.0005847864834794</x:v>
      </x:c>
      <x:c r="E66" s="135" t="n">
        <x:v>1</x:v>
      </x:c>
    </x:row>
    <x:row r="67">
      <x:c r="A67" s="135" t="n">
        <x:v>58</x:v>
      </x:c>
      <x:c r="B67" s="252" t="b">
        <x:v>1</x:v>
      </x:c>
      <x:c r="C67" s="135" t="str">
        <x:v>pressure-response proxy exceeds q-star proxy</x:v>
      </x:c>
      <x:c r="D67" s="135" t="str"/>
      <x:c r="E67" s="135" t="n">
        <x:v>1</x:v>
      </x:c>
    </x:row>
    <x:row r="68">
      <x:c r="A68" s="135" t="n">
        <x:v>59</x:v>
      </x:c>
      <x:c r="B68" s="252" t="b">
        <x:v>1</x:v>
      </x:c>
      <x:c r="C68" s="135" t="str">
        <x:v>target finite differences are stable</x:v>
      </x:c>
      <x:c r="D68" s="135" t="str"/>
      <x:c r="E68" s="135" t="n">
        <x:v>1</x:v>
      </x:c>
    </x:row>
    <x:row r="69">
      <x:c r="A69" s="135" t="n">
        <x:v>60</x:v>
      </x:c>
      <x:c r="B69" s="252" t="b">
        <x:v>1</x:v>
      </x:c>
      <x:c r="C69" s="135" t="str">
        <x:v>nuisance finite differences are stable</x:v>
      </x:c>
      <x:c r="D69" s="135" t="str"/>
      <x:c r="E69" s="135" t="n">
        <x:v>1</x:v>
      </x:c>
    </x:row>
    <x:row r="70">
      <x:c r="A70" s="135" t="n">
        <x:v>61</x:v>
      </x:c>
      <x:c r="B70" s="252" t="b">
        <x:v>1</x:v>
      </x:c>
      <x:c r="C70" s="135" t="str">
        <x:v>bootstrap row count</x:v>
      </x:c>
      <x:c r="D70" s="135" t="str">
        <x:v>2400</x:v>
      </x:c>
      <x:c r="E70" s="135" t="n">
        <x:v>1</x:v>
      </x:c>
    </x:row>
    <x:row r="71">
      <x:c r="A71" s="135" t="n">
        <x:v>62</x:v>
      </x:c>
      <x:c r="B71" s="252" t="b">
        <x:v>1</x:v>
      </x:c>
      <x:c r="C71" s="135" t="str">
        <x:v>bootstrap has 400 unique replicates</x:v>
      </x:c>
      <x:c r="D71" s="135" t="str"/>
      <x:c r="E71" s="135" t="n">
        <x:v>1</x:v>
      </x:c>
    </x:row>
    <x:row r="72">
      <x:c r="A72" s="135" t="n">
        <x:v>63</x:v>
      </x:c>
      <x:c r="B72" s="252" t="b">
        <x:v>1</x:v>
      </x:c>
      <x:c r="C72" s="135" t="str">
        <x:v>bootstrap metrics are finite</x:v>
      </x:c>
      <x:c r="D72" s="135" t="str"/>
      <x:c r="E72" s="135" t="n">
        <x:v>1</x:v>
      </x:c>
    </x:row>
    <x:row r="73">
      <x:c r="A73" s="135" t="n">
        <x:v>64</x:v>
      </x:c>
      <x:c r="B73" s="252" t="b">
        <x:v>1</x:v>
      </x:c>
      <x:c r="C73" s="135" t="str">
        <x:v>bootstrap median matches summary</x:v>
      </x:c>
      <x:c r="D73" s="135" t="str">
        <x:v>3.3891777172224438</x:v>
      </x:c>
      <x:c r="E73" s="135" t="n">
        <x:v>1</x:v>
      </x:c>
    </x:row>
    <x:row r="74">
      <x:c r="A74" s="135" t="n">
        <x:v>65</x:v>
      </x:c>
      <x:c r="B74" s="252" t="b">
        <x:v>1</x:v>
      </x:c>
      <x:c r="C74" s="135" t="str">
        <x:v>all primary bootstrap gains exceed one</x:v>
      </x:c>
      <x:c r="D74" s="135" t="str"/>
      <x:c r="E74" s="135" t="n">
        <x:v>1</x:v>
      </x:c>
    </x:row>
    <x:row r="75">
      <x:c r="A75" s="135" t="n">
        <x:v>66</x:v>
      </x:c>
      <x:c r="B75" s="252" t="b">
        <x:v>1</x:v>
      </x:c>
      <x:c r="C75" s="135" t="str">
        <x:v>conditional design selection row count</x:v>
      </x:c>
      <x:c r="D75" s="135" t="str"/>
      <x:c r="E75" s="135" t="n">
        <x:v>1</x:v>
      </x:c>
    </x:row>
    <x:row r="76">
      <x:c r="A76" s="135" t="n">
        <x:v>67</x:v>
      </x:c>
      <x:c r="B76" s="252" t="b">
        <x:v>1</x:v>
      </x:c>
      <x:c r="C76" s="135" t="str">
        <x:v>conditional design regrets are non-negative</x:v>
      </x:c>
      <x:c r="D76" s="135" t="str"/>
      <x:c r="E76" s="135" t="n">
        <x:v>1</x:v>
      </x:c>
    </x:row>
    <x:row r="77">
      <x:c r="A77" s="135" t="n">
        <x:v>68</x:v>
      </x:c>
      <x:c r="B77" s="252" t="b">
        <x:v>1</x:v>
      </x:c>
      <x:c r="C77" s="135" t="str">
        <x:v>nine operating-point controls</x:v>
      </x:c>
      <x:c r="D77" s="135" t="str"/>
      <x:c r="E77" s="135" t="n">
        <x:v>1</x:v>
      </x:c>
    </x:row>
    <x:row r="78">
      <x:c r="A78" s="135" t="n">
        <x:v>69</x:v>
      </x:c>
      <x:c r="B78" s="252" t="b">
        <x:v>1</x:v>
      </x:c>
      <x:c r="C78" s="135" t="str">
        <x:v>operating-point design gains are finite</x:v>
      </x:c>
      <x:c r="D78" s="135" t="str"/>
      <x:c r="E78" s="135" t="n">
        <x:v>1</x:v>
      </x:c>
    </x:row>
    <x:row r="79">
      <x:c r="A79" s="135" t="n">
        <x:v>70</x:v>
      </x:c>
      <x:c r="B79" s="252" t="b">
        <x:v>1</x:v>
      </x:c>
      <x:c r="C79" s="135" t="str">
        <x:v>pressure does not widen Vcem profile</x:v>
      </x:c>
      <x:c r="D79" s="135" t="str"/>
      <x:c r="E79" s="135" t="n">
        <x:v>1</x:v>
      </x:c>
    </x:row>
    <x:row r="80">
      <x:c r="A80" s="135" t="n">
        <x:v>71</x:v>
      </x:c>
      <x:c r="B80" s="252" t="b">
        <x:v>1</x:v>
      </x:c>
      <x:c r="C80" s="135" t="str">
        <x:v>pressure does not widen Cn profile</x:v>
      </x:c>
      <x:c r="D80" s="135" t="str"/>
      <x:c r="E80" s="135" t="n">
        <x:v>1</x:v>
      </x:c>
    </x:row>
    <x:row r="81">
      <x:c r="A81" s="135" t="n">
        <x:v>72</x:v>
      </x:c>
      <x:c r="B81" s="252" t="b">
        <x:v>1</x:v>
      </x:c>
      <x:c r="C81" s="135" t="str">
        <x:v>combined Vcem profile is boundary-censored</x:v>
      </x:c>
      <x:c r="D81" s="135" t="str"/>
      <x:c r="E81" s="135" t="n">
        <x:v>1</x:v>
      </x:c>
    </x:row>
    <x:row r="82">
      <x:c r="A82" s="135" t="n">
        <x:v>73</x:v>
      </x:c>
      <x:c r="B82" s="252" t="b">
        <x:v>1</x:v>
      </x:c>
      <x:c r="C82" s="135" t="str">
        <x:v>combined Cn profile is lower-bound censored</x:v>
      </x:c>
      <x:c r="D82" s="135" t="str"/>
      <x:c r="E82" s="135" t="n">
        <x:v>1</x:v>
      </x:c>
    </x:row>
    <x:row r="83">
      <x:c r="A83" s="135" t="n">
        <x:v>74</x:v>
      </x:c>
      <x:c r="B83" s="252" t="b">
        <x:v>1</x:v>
      </x:c>
      <x:c r="C83" s="135" t="str">
        <x:v>four PNG figures exist</x:v>
      </x:c>
      <x:c r="D83" s="135" t="str">
        <x:v>4</x:v>
      </x:c>
      <x:c r="E83" s="135" t="n">
        <x:v>1</x:v>
      </x:c>
    </x:row>
    <x:row r="84">
      <x:c r="A84" s="135" t="n">
        <x:v>75</x:v>
      </x:c>
      <x:c r="B84" s="252" t="b">
        <x:v>1</x:v>
      </x:c>
      <x:c r="C84" s="135" t="str">
        <x:v>valid PNG Fig_E3_no_go_and_controls.png</x:v>
      </x:c>
      <x:c r="D84" s="135" t="str">
        <x:v>447101</x:v>
      </x:c>
      <x:c r="E84" s="135" t="n">
        <x:v>1</x:v>
      </x:c>
    </x:row>
    <x:row r="85">
      <x:c r="A85" s="135" t="n">
        <x:v>76</x:v>
      </x:c>
      <x:c r="B85" s="252" t="b">
        <x:v>1</x:v>
      </x:c>
      <x:c r="C85" s="135" t="str">
        <x:v>valid PNG Fig_E3_pressure_design.png</x:v>
      </x:c>
      <x:c r="D85" s="135" t="str">
        <x:v>520628</x:v>
      </x:c>
      <x:c r="E85" s="135" t="n">
        <x:v>1</x:v>
      </x:c>
    </x:row>
    <x:row r="86">
      <x:c r="A86" s="135" t="n">
        <x:v>77</x:v>
      </x:c>
      <x:c r="B86" s="252" t="b">
        <x:v>1</x:v>
      </x:c>
      <x:c r="C86" s="135" t="str">
        <x:v>valid PNG Fig_E3_ridge_breaking.png</x:v>
      </x:c>
      <x:c r="D86" s="135" t="str">
        <x:v>686224</x:v>
      </x:c>
      <x:c r="E86" s="135" t="n">
        <x:v>1</x:v>
      </x:c>
    </x:row>
    <x:row r="87">
      <x:c r="A87" s="135" t="n">
        <x:v>78</x:v>
      </x:c>
      <x:c r="B87" s="252" t="b">
        <x:v>1</x:v>
      </x:c>
      <x:c r="C87" s="135" t="str">
        <x:v>valid PNG Fig_E3_robustness_and_direction.png</x:v>
      </x:c>
      <x:c r="D87" s="135" t="str">
        <x:v>285964</x:v>
      </x:c>
      <x:c r="E87" s="135" t="n">
        <x:v>1</x:v>
      </x:c>
    </x:row>
    <x:row r="88">
      <x:c r="A88" s="135" t="n">
        <x:v>79</x:v>
      </x:c>
      <x:c r="B88" s="252" t="b">
        <x:v>1</x:v>
      </x:c>
      <x:c r="C88" s="135" t="str">
        <x:v>four PDF figures exist</x:v>
      </x:c>
      <x:c r="D88" s="135" t="str">
        <x:v>4</x:v>
      </x:c>
      <x:c r="E88" s="135" t="n">
        <x:v>1</x:v>
      </x:c>
    </x:row>
    <x:row r="89">
      <x:c r="A89" s="135" t="n">
        <x:v>80</x:v>
      </x:c>
      <x:c r="B89" s="252" t="b">
        <x:v>1</x:v>
      </x:c>
      <x:c r="C89" s="135" t="str">
        <x:v>valid PDF header Fig_E3_no_go_and_controls.pdf</x:v>
      </x:c>
      <x:c r="D89" s="135" t="str">
        <x:v>b'%PDF-'</x:v>
      </x:c>
      <x:c r="E89" s="135" t="n">
        <x:v>1</x:v>
      </x:c>
    </x:row>
    <x:row r="90">
      <x:c r="A90" s="135" t="n">
        <x:v>81</x:v>
      </x:c>
      <x:c r="B90" s="252" t="b">
        <x:v>1</x:v>
      </x:c>
      <x:c r="C90" s="135" t="str">
        <x:v>valid PDF header Fig_E3_pressure_design.pdf</x:v>
      </x:c>
      <x:c r="D90" s="135" t="str">
        <x:v>b'%PDF-'</x:v>
      </x:c>
      <x:c r="E90" s="135" t="n">
        <x:v>1</x:v>
      </x:c>
    </x:row>
    <x:row r="91">
      <x:c r="A91" s="135" t="n">
        <x:v>82</x:v>
      </x:c>
      <x:c r="B91" s="252" t="b">
        <x:v>1</x:v>
      </x:c>
      <x:c r="C91" s="135" t="str">
        <x:v>valid PDF header Fig_E3_ridge_breaking.pdf</x:v>
      </x:c>
      <x:c r="D91" s="135" t="str">
        <x:v>b'%PDF-'</x:v>
      </x:c>
      <x:c r="E91" s="135" t="n">
        <x:v>1</x:v>
      </x:c>
    </x:row>
    <x:row r="92">
      <x:c r="A92" s="135" t="n">
        <x:v>83</x:v>
      </x:c>
      <x:c r="B92" s="252" t="b">
        <x:v>1</x:v>
      </x:c>
      <x:c r="C92" s="135" t="str">
        <x:v>valid PDF header Fig_E3_robustness_and_direction.pdf</x:v>
      </x:c>
      <x:c r="D92" s="135" t="str">
        <x:v>b'%PDF-'</x:v>
      </x:c>
      <x:c r="E92" s="135" t="n">
        <x:v>1</x:v>
      </x:c>
    </x:row>
    <x:row r="93">
      <x:c r="A93" s="135" t="n">
        <x:v>84</x:v>
      </x:c>
      <x:c r="B93" s="252" t="b">
        <x:v>1</x:v>
      </x:c>
      <x:c r="C93" s="135" t="str">
        <x:v>all expected CSV tables exist</x:v>
      </x:c>
      <x:c r="D93" s="135" t="str">
        <x:v>22</x:v>
      </x:c>
      <x:c r="E93" s="135" t="n">
        <x:v>1</x:v>
      </x:c>
    </x:row>
    <x:row r="94">
      <x:c r="A94" s="135" t="n">
        <x:v>85</x:v>
      </x:c>
      <x:c r="B94" s="252" t="b">
        <x:v>1</x:v>
      </x:c>
      <x:c r="C94" s="135" t="str">
        <x:v>no infinities in E3_best_designs.csv</x:v>
      </x:c>
      <x:c r="D94" s="135" t="str"/>
      <x:c r="E94" s="135" t="n">
        <x:v>1</x:v>
      </x:c>
    </x:row>
    <x:row r="95">
      <x:c r="A95" s="135" t="n">
        <x:v>86</x:v>
      </x:c>
      <x:c r="B95" s="252" t="b">
        <x:v>1</x:v>
      </x:c>
      <x:c r="C95" s="135" t="str">
        <x:v>no infinities in E3_bootstrap_replicates.csv</x:v>
      </x:c>
      <x:c r="D95" s="135" t="str"/>
      <x:c r="E95" s="135" t="n">
        <x:v>1</x:v>
      </x:c>
    </x:row>
    <x:row r="96">
      <x:c r="A96" s="135" t="n">
        <x:v>87</x:v>
      </x:c>
      <x:c r="B96" s="252" t="b">
        <x:v>1</x:v>
      </x:c>
      <x:c r="C96" s="135" t="str">
        <x:v>no infinities in E3_bootstrap_summary.csv</x:v>
      </x:c>
      <x:c r="D96" s="135" t="str"/>
      <x:c r="E96" s="135" t="n">
        <x:v>1</x:v>
      </x:c>
    </x:row>
    <x:row r="97">
      <x:c r="A97" s="135" t="n">
        <x:v>88</x:v>
      </x:c>
      <x:c r="B97" s="252" t="b">
        <x:v>1</x:v>
      </x:c>
      <x:c r="C97" s="135" t="str">
        <x:v>no infinities in E3_bounding_weight_stress.csv</x:v>
      </x:c>
      <x:c r="D97" s="135" t="str"/>
      <x:c r="E97" s="135" t="n">
        <x:v>1</x:v>
      </x:c>
    </x:row>
    <x:row r="98">
      <x:c r="A98" s="135" t="n">
        <x:v>89</x:v>
      </x:c>
      <x:c r="B98" s="252" t="b">
        <x:v>1</x:v>
      </x:c>
      <x:c r="C98" s="135" t="str">
        <x:v>no infinities in E3_candidate_observations.csv</x:v>
      </x:c>
      <x:c r="D98" s="135" t="str"/>
      <x:c r="E98" s="135" t="n">
        <x:v>1</x:v>
      </x:c>
    </x:row>
    <x:row r="99">
      <x:c r="A99" s="135" t="n">
        <x:v>90</x:v>
      </x:c>
      <x:c r="B99" s="252" t="b">
        <x:v>1</x:v>
      </x:c>
      <x:c r="C99" s="135" t="str">
        <x:v>no infinities in E3_conditional_design_selection.csv</x:v>
      </x:c>
      <x:c r="D99" s="135" t="str"/>
      <x:c r="E99" s="135" t="n">
        <x:v>1</x:v>
      </x:c>
    </x:row>
    <x:row r="100">
      <x:c r="A100" s="135" t="n">
        <x:v>91</x:v>
      </x:c>
      <x:c r="B100" s="252" t="b">
        <x:v>1</x:v>
      </x:c>
      <x:c r="C100" s="135" t="str">
        <x:v>no infinities in E3_finite_difference_stability.csv</x:v>
      </x:c>
      <x:c r="D100" s="135" t="str"/>
      <x:c r="E100" s="135" t="n">
        <x:v>1</x:v>
      </x:c>
    </x:row>
    <x:row r="101">
      <x:c r="A101" s="135" t="n">
        <x:v>92</x:v>
      </x:c>
      <x:c r="B101" s="252" t="b">
        <x:v>1</x:v>
      </x:c>
      <x:c r="C101" s="135" t="str">
        <x:v>no infinities in E3_model_discrepancy_sensitivity.csv</x:v>
      </x:c>
      <x:c r="D101" s="135" t="str"/>
      <x:c r="E101" s="135" t="n">
        <x:v>1</x:v>
      </x:c>
    </x:row>
    <x:row r="102">
      <x:c r="A102" s="135" t="n">
        <x:v>93</x:v>
      </x:c>
      <x:c r="B102" s="252" t="b">
        <x:v>1</x:v>
      </x:c>
      <x:c r="C102" s="135" t="str">
        <x:v>no infinities in E3_multi_fluid_control.csv</x:v>
      </x:c>
      <x:c r="D102" s="135" t="str"/>
      <x:c r="E102" s="135" t="n">
        <x:v>1</x:v>
      </x:c>
    </x:row>
    <x:row r="103">
      <x:c r="A103" s="135" t="n">
        <x:v>94</x:v>
      </x:c>
      <x:c r="B103" s="252" t="b">
        <x:v>1</x:v>
      </x:c>
      <x:c r="C103" s="135" t="str">
        <x:v>no infinities in E3_no_go_repetition.csv</x:v>
      </x:c>
      <x:c r="D103" s="135" t="str"/>
      <x:c r="E103" s="135" t="n">
        <x:v>1</x:v>
      </x:c>
    </x:row>
    <x:row r="104">
      <x:c r="A104" s="135" t="n">
        <x:v>95</x:v>
      </x:c>
      <x:c r="B104" s="252" t="b">
        <x:v>1</x:v>
      </x:c>
      <x:c r="C104" s="135" t="str">
        <x:v>no infinities in E3_nonlinear_profiles.csv</x:v>
      </x:c>
      <x:c r="D104" s="135" t="str"/>
      <x:c r="E104" s="135" t="n">
        <x:v>1</x:v>
      </x:c>
    </x:row>
    <x:row r="105">
      <x:c r="A105" s="135" t="n">
        <x:v>96</x:v>
      </x:c>
      <x:c r="B105" s="252" t="b">
        <x:v>1</x:v>
      </x:c>
      <x:c r="C105" s="135" t="str">
        <x:v>no infinities in E3_operating_point_design_sensitivity.csv</x:v>
      </x:c>
      <x:c r="D105" s="135" t="str"/>
      <x:c r="E105" s="135" t="n">
        <x:v>1</x:v>
      </x:c>
    </x:row>
    <x:row r="106">
      <x:c r="A106" s="135" t="n">
        <x:v>97</x:v>
      </x:c>
      <x:c r="B106" s="252" t="b">
        <x:v>1</x:v>
      </x:c>
      <x:c r="C106" s="135" t="str">
        <x:v>no infinities in E3_patchy_weights.csv</x:v>
      </x:c>
      <x:c r="D106" s="135" t="str"/>
      <x:c r="E106" s="135" t="n">
        <x:v>1</x:v>
      </x:c>
    </x:row>
    <x:row r="107">
      <x:c r="A107" s="135" t="n">
        <x:v>98</x:v>
      </x:c>
      <x:c r="B107" s="252" t="b">
        <x:v>1</x:v>
      </x:c>
      <x:c r="C107" s="135" t="str">
        <x:v>no infinities in E3_pressure_ablation.csv</x:v>
      </x:c>
      <x:c r="D107" s="135" t="str"/>
      <x:c r="E107" s="135" t="n">
        <x:v>1</x:v>
      </x:c>
    </x:row>
    <x:row r="108">
      <x:c r="A108" s="135" t="n">
        <x:v>99</x:v>
      </x:c>
      <x:c r="B108" s="252" t="b">
        <x:v>1</x:v>
      </x:c>
      <x:c r="C108" s="135" t="str">
        <x:v>no infinities in E3_pressure_curves.csv</x:v>
      </x:c>
      <x:c r="D108" s="135" t="str"/>
      <x:c r="E108" s="135" t="n">
        <x:v>1</x:v>
      </x:c>
    </x:row>
    <x:row r="109">
      <x:c r="A109" s="135" t="n">
        <x:v>100</x:v>
      </x:c>
      <x:c r="B109" s="252" t="b">
        <x:v>1</x:v>
      </x:c>
      <x:c r="C109" s="135" t="str">
        <x:v>no infinities in E3_pressure_design_grid.csv</x:v>
      </x:c>
      <x:c r="D109" s="135" t="str"/>
      <x:c r="E109" s="135" t="n">
        <x:v>1</x:v>
      </x:c>
    </x:row>
    <x:row r="110">
      <x:c r="A110" s="135" t="n">
        <x:v>101</x:v>
      </x:c>
      <x:c r="B110" s="252" t="b">
        <x:v>1</x:v>
      </x:c>
      <x:c r="C110" s="135" t="str">
        <x:v>no infinities in E3_pressure_independence_audit.csv</x:v>
      </x:c>
      <x:c r="D110" s="135" t="str"/>
      <x:c r="E110" s="135" t="n">
        <x:v>1</x:v>
      </x:c>
    </x:row>
    <x:row r="111">
      <x:c r="A111" s="135" t="n">
        <x:v>102</x:v>
      </x:c>
      <x:c r="B111" s="252" t="b">
        <x:v>1</x:v>
      </x:c>
      <x:c r="C111" s="135" t="str">
        <x:v>no infinities in E3_profile_widths.csv</x:v>
      </x:c>
      <x:c r="D111" s="135" t="str"/>
      <x:c r="E111" s="135" t="n">
        <x:v>1</x:v>
      </x:c>
    </x:row>
    <x:row r="112">
      <x:c r="A112" s="135" t="n">
        <x:v>103</x:v>
      </x:c>
      <x:c r="B112" s="252" t="b">
        <x:v>1</x:v>
      </x:c>
      <x:c r="C112" s="135" t="str">
        <x:v>no infinities in E3_rank_one_design_map.csv</x:v>
      </x:c>
      <x:c r="D112" s="135" t="str"/>
      <x:c r="E112" s="135" t="n">
        <x:v>1</x:v>
      </x:c>
    </x:row>
    <x:row r="113">
      <x:c r="A113" s="135" t="n">
        <x:v>104</x:v>
      </x:c>
      <x:c r="B113" s="252" t="b">
        <x:v>1</x:v>
      </x:c>
      <x:c r="C113" s="135" t="str">
        <x:v>no infinities in E3_reference_pressure_sensitivity.csv</x:v>
      </x:c>
      <x:c r="D113" s="135" t="str"/>
      <x:c r="E113" s="135" t="n">
        <x:v>1</x:v>
      </x:c>
    </x:row>
    <x:row r="114">
      <x:c r="A114" s="135" t="n">
        <x:v>105</x:v>
      </x:c>
      <x:c r="B114" s="252" t="b">
        <x:v>1</x:v>
      </x:c>
      <x:c r="C114" s="135" t="str">
        <x:v>no infinities in E3_target_aligned_discrepancy.csv</x:v>
      </x:c>
      <x:c r="D114" s="135" t="str"/>
      <x:c r="E114" s="135" t="n">
        <x:v>1</x:v>
      </x:c>
    </x:row>
    <x:row r="115">
      <x:c r="A115" s="136" t="n">
        <x:v>106</x:v>
      </x:c>
      <x:c r="B115" s="290" t="b">
        <x:v>1</x:v>
      </x:c>
      <x:c r="C115" s="136" t="str">
        <x:v>no infinities in E3_trajectory_specific_designs.csv</x:v>
      </x:c>
      <x:c r="D115" s="136" t="str"/>
      <x:c r="E115" s="136" t="n">
        <x:v>1</x:v>
      </x:c>
    </x:row>
  </x:sheetData>
  <x:mergeCells>
    <x:mergeCell ref="A1:K1"/>
    <x:mergeCell ref="A2:K2"/>
    <x:mergeCell ref="F4:K4"/>
    <x:mergeCell ref="A8:E8"/>
  </x:mergeCells>
  <x:conditionalFormatting sqref="B10:B115">
    <x:cfRule type="cellIs" dxfId="2" priority="1" operator="equal">
      <x:formula>TRUE</x:formula>
    </x:cfRule>
    <x:cfRule type="cellIs" dxfId="3" priority="2" operator="equal">
      <x:formula>FALSE</x:formula>
    </x:cfRule>
  </x:conditionalFormatting>
  <x:pageMargins left="0.7" right="0.7" top="0.75" bottom="0.75" header="0.3" footer="0.3"/>
  <x:tableParts count="2">
    <x:tablePart xmlns:r="http://schemas.openxmlformats.org/officeDocument/2006/relationships" r:id="Rd0dd1b00c54442ce"/>
    <x:tablePart xmlns:r="http://schemas.openxmlformats.org/officeDocument/2006/relationships" r:id="R2e0aefefdfde48b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38.88999938964844" hidden="0" customWidth="1"/>
    <x:col min="3" max="3" width="10.5600004196167" hidden="0" customWidth="1"/>
    <x:col min="4" max="4" width="12.220000267028809" hidden="0" customWidth="1"/>
    <x:col min="5" max="5" width="26.670000076293945" hidden="0" customWidth="1"/>
    <x:col min="6" max="6" width="23.329999923706055" hidden="0" customWidth="1"/>
    <x:col min="7" max="7" width="11.109999656677246" hidden="0" customWidth="1"/>
    <x:col min="8" max="8" width="11.109999656677246" hidden="0" customWidth="1"/>
  </x:cols>
  <x:sheetData>
    <x:row r="1" ht="30" customHeight="1">
      <x:c r="A1" s="3" t="str">
        <x:v>Sources, lineage, and package index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All sources are immutable package-relative files. Full raw result tables remain in results/tables; this workbook presents curated scientific views.</x:v>
      </x:c>
      <x:c r="B2" s="7"/>
      <x:c r="C2" s="7"/>
      <x:c r="D2" s="7"/>
      <x:c r="E2" s="7"/>
      <x:c r="F2" s="7"/>
      <x:c r="G2" s="7"/>
      <x:c r="H2" s="7"/>
    </x:row>
    <x:row r="4">
      <x:c r="A4" s="127" t="str">
        <x:v>Artifact</x:v>
      </x:c>
      <x:c r="B4" s="128" t="str">
        <x:v>Package-relative path</x:v>
      </x:c>
      <x:c r="C4" s="128" t="str">
        <x:v>Type</x:v>
      </x:c>
      <x:c r="D4" s="128" t="str">
        <x:v>Records / checks</x:v>
      </x:c>
      <x:c r="E4" s="128" t="str">
        <x:v>Workbook destination</x:v>
      </x:c>
      <x:c r="F4" s="129" t="str">
        <x:v>Scope note</x:v>
      </x:c>
    </x:row>
    <x:row r="5">
      <x:c r="A5" s="134" t="str">
        <x:v>summary.json</x:v>
      </x:c>
      <x:c r="B5" s="134" t="str">
        <x:v>results/summary.json</x:v>
      </x:c>
      <x:c r="C5" s="134" t="str">
        <x:v>JSON</x:v>
      </x:c>
      <x:c r="D5" s="305" t="n">
        <x:v>1</x:v>
      </x:c>
      <x:c r="E5" s="134" t="str">
        <x:v>Summary and cross-sheet assumptions</x:v>
      </x:c>
      <x:c r="F5" s="134" t="str">
        <x:v>Headline machine-readable result</x:v>
      </x:c>
    </x:row>
    <x:row r="6">
      <x:c r="A6" s="135" t="str">
        <x:v>RESULTS.md</x:v>
      </x:c>
      <x:c r="B6" s="135" t="str">
        <x:v>results/RESULTS.md</x:v>
      </x:c>
      <x:c r="C6" s="135" t="str">
        <x:v>Markdown</x:v>
      </x:c>
      <x:c r="D6" s="306"/>
      <x:c r="E6" s="135" t="str">
        <x:v>Interpretation reference</x:v>
      </x:c>
      <x:c r="F6" s="135" t="str">
        <x:v>Narrative result statement</x:v>
      </x:c>
    </x:row>
    <x:row r="7">
      <x:c r="A7" s="135" t="str">
        <x:v>E3_verification.json</x:v>
      </x:c>
      <x:c r="B7" s="135" t="str">
        <x:v>results/verification/E3_verification.json</x:v>
      </x:c>
      <x:c r="C7" s="135" t="str">
        <x:v>JSON</x:v>
      </x:c>
      <x:c r="D7" s="306" t="n">
        <x:v>106</x:v>
      </x:c>
      <x:c r="E7" s="135" t="str">
        <x:v>Verification</x:v>
      </x:c>
      <x:c r="F7" s="135" t="str">
        <x:v>Full automated check set</x:v>
      </x:c>
    </x:row>
    <x:row r="8">
      <x:c r="A8" s="135" t="str">
        <x:v>METHODS.md</x:v>
      </x:c>
      <x:c r="B8" s="135" t="str">
        <x:v>docs/METHODS.md</x:v>
      </x:c>
      <x:c r="C8" s="135" t="str">
        <x:v>Markdown</x:v>
      </x:c>
      <x:c r="D8" s="306"/>
      <x:c r="E8" s="135" t="str">
        <x:v>Method reference</x:v>
      </x:c>
      <x:c r="F8" s="135" t="str">
        <x:v>Definitions and computation</x:v>
      </x:c>
    </x:row>
    <x:row r="9">
      <x:c r="A9" s="135" t="str">
        <x:v>SOURCES.md</x:v>
      </x:c>
      <x:c r="B9" s="135" t="str">
        <x:v>docs/SOURCES.md</x:v>
      </x:c>
      <x:c r="C9" s="135" t="str">
        <x:v>Markdown</x:v>
      </x:c>
      <x:c r="D9" s="306"/>
      <x:c r="E9" s="135" t="str">
        <x:v>Citation reference</x:v>
      </x:c>
      <x:c r="F9" s="135" t="str">
        <x:v>Scientific sources</x:v>
      </x:c>
    </x:row>
    <x:row r="10">
      <x:c r="A10" s="135" t="str">
        <x:v>VERSION</x:v>
      </x:c>
      <x:c r="B10" s="135" t="str">
        <x:v>VERSION</x:v>
      </x:c>
      <x:c r="C10" s="135" t="str">
        <x:v>Text</x:v>
      </x:c>
      <x:c r="D10" s="306"/>
      <x:c r="E10" s="135" t="str">
        <x:v>Package metadata</x:v>
      </x:c>
      <x:c r="F10" s="135" t="str">
        <x:v>Frozen package version</x:v>
      </x:c>
    </x:row>
    <x:row r="11">
      <x:c r="A11" s="135" t="str">
        <x:v>E3_best_designs.csv</x:v>
      </x:c>
      <x:c r="B11" s="135" t="str">
        <x:v>results/tables/E3_best_designs.csv</x:v>
      </x:c>
      <x:c r="C11" s="135" t="str">
        <x:v>CSV</x:v>
      </x:c>
      <x:c r="D11" s="306" t="n">
        <x:v>32</x:v>
      </x:c>
      <x:c r="E11" s="135" t="str">
        <x:v>Fabric ablation; Design</x:v>
      </x:c>
      <x:c r="F11" s="135" t="str">
        <x:v>Curated or summarized</x:v>
      </x:c>
    </x:row>
    <x:row r="12">
      <x:c r="A12" s="135" t="str">
        <x:v>E3_bootstrap_replicates.csv</x:v>
      </x:c>
      <x:c r="B12" s="135" t="str">
        <x:v>results/tables/E3_bootstrap_replicates.csv</x:v>
      </x:c>
      <x:c r="C12" s="135" t="str">
        <x:v>CSV</x:v>
      </x:c>
      <x:c r="D12" s="306" t="n">
        <x:v>2400</x:v>
      </x:c>
      <x:c r="E12" s="135" t="str">
        <x:v>Indexed only; see full package table</x:v>
      </x:c>
      <x:c r="F12" s="135" t="str">
        <x:v>Not duplicated in workbook</x:v>
      </x:c>
    </x:row>
    <x:row r="13">
      <x:c r="A13" s="135" t="str">
        <x:v>E3_bootstrap_summary.csv</x:v>
      </x:c>
      <x:c r="B13" s="135" t="str">
        <x:v>results/tables/E3_bootstrap_summary.csv</x:v>
      </x:c>
      <x:c r="C13" s="135" t="str">
        <x:v>CSV</x:v>
      </x:c>
      <x:c r="D13" s="306" t="n">
        <x:v>18</x:v>
      </x:c>
      <x:c r="E13" s="135" t="str">
        <x:v>Robustness</x:v>
      </x:c>
      <x:c r="F13" s="135" t="str">
        <x:v>Curated or summarized</x:v>
      </x:c>
    </x:row>
    <x:row r="14">
      <x:c r="A14" s="135" t="str">
        <x:v>E3_bounding_weight_stress.csv</x:v>
      </x:c>
      <x:c r="B14" s="135" t="str">
        <x:v>results/tables/E3_bounding_weight_stress.csv</x:v>
      </x:c>
      <x:c r="C14" s="135" t="str">
        <x:v>CSV</x:v>
      </x:c>
      <x:c r="D14" s="306" t="n">
        <x:v>110</x:v>
      </x:c>
      <x:c r="E14" s="135" t="str">
        <x:v>Indexed only; see full package table</x:v>
      </x:c>
      <x:c r="F14" s="135" t="str">
        <x:v>Not duplicated in workbook</x:v>
      </x:c>
    </x:row>
    <x:row r="15">
      <x:c r="A15" s="135" t="str">
        <x:v>E3_candidate_observations.csv</x:v>
      </x:c>
      <x:c r="B15" s="135" t="str">
        <x:v>results/tables/E3_candidate_observations.csv</x:v>
      </x:c>
      <x:c r="C15" s="135" t="str">
        <x:v>CSV</x:v>
      </x:c>
      <x:c r="D15" s="306" t="n">
        <x:v>5</x:v>
      </x:c>
      <x:c r="E15" s="135" t="str">
        <x:v>Indexed only; see full package table</x:v>
      </x:c>
      <x:c r="F15" s="135" t="str">
        <x:v>Not duplicated in workbook</x:v>
      </x:c>
    </x:row>
    <x:row r="16">
      <x:c r="A16" s="135" t="str">
        <x:v>E3_conditional_design_selection.csv</x:v>
      </x:c>
      <x:c r="B16" s="135" t="str">
        <x:v>results/tables/E3_conditional_design_selection.csv</x:v>
      </x:c>
      <x:c r="C16" s="135" t="str">
        <x:v>CSV</x:v>
      </x:c>
      <x:c r="D16" s="306" t="n">
        <x:v>300</x:v>
      </x:c>
      <x:c r="E16" s="135" t="str">
        <x:v>Robustness (summary)</x:v>
      </x:c>
      <x:c r="F16" s="135" t="str">
        <x:v>Curated or summarized</x:v>
      </x:c>
    </x:row>
    <x:row r="17">
      <x:c r="A17" s="135" t="str">
        <x:v>E3_finite_difference_stability.csv</x:v>
      </x:c>
      <x:c r="B17" s="135" t="str">
        <x:v>results/tables/E3_finite_difference_stability.csv</x:v>
      </x:c>
      <x:c r="C17" s="135" t="str">
        <x:v>CSV</x:v>
      </x:c>
      <x:c r="D17" s="306" t="n">
        <x:v>3</x:v>
      </x:c>
      <x:c r="E17" s="135" t="str">
        <x:v>Verification</x:v>
      </x:c>
      <x:c r="F17" s="135" t="str">
        <x:v>Curated or summarized</x:v>
      </x:c>
    </x:row>
    <x:row r="18">
      <x:c r="A18" s="135" t="str">
        <x:v>E3_model_discrepancy_sensitivity.csv</x:v>
      </x:c>
      <x:c r="B18" s="135" t="str">
        <x:v>results/tables/E3_model_discrepancy_sensitivity.csv</x:v>
      </x:c>
      <x:c r="C18" s="135" t="str">
        <x:v>CSV</x:v>
      </x:c>
      <x:c r="D18" s="306" t="n">
        <x:v>15</x:v>
      </x:c>
      <x:c r="E18" s="135" t="str">
        <x:v>Discrepancy controls</x:v>
      </x:c>
      <x:c r="F18" s="135" t="str">
        <x:v>Curated or summarized</x:v>
      </x:c>
    </x:row>
    <x:row r="19">
      <x:c r="A19" s="135" t="str">
        <x:v>E3_multi_fluid_control.csv</x:v>
      </x:c>
      <x:c r="B19" s="135" t="str">
        <x:v>results/tables/E3_multi_fluid_control.csv</x:v>
      </x:c>
      <x:c r="C19" s="135" t="str">
        <x:v>CSV</x:v>
      </x:c>
      <x:c r="D19" s="306" t="n">
        <x:v>5</x:v>
      </x:c>
      <x:c r="E19" s="135" t="str">
        <x:v>Discrepancy controls</x:v>
      </x:c>
      <x:c r="F19" s="135" t="str">
        <x:v>Curated or summarized</x:v>
      </x:c>
    </x:row>
    <x:row r="20">
      <x:c r="A20" s="135" t="str">
        <x:v>E3_no_go_repetition.csv</x:v>
      </x:c>
      <x:c r="B20" s="135" t="str">
        <x:v>results/tables/E3_no_go_repetition.csv</x:v>
      </x:c>
      <x:c r="C20" s="135" t="str">
        <x:v>CSV</x:v>
      </x:c>
      <x:c r="D20" s="306" t="n">
        <x:v>6</x:v>
      </x:c>
      <x:c r="E20" s="135" t="str">
        <x:v>Discrepancy controls</x:v>
      </x:c>
      <x:c r="F20" s="135" t="str">
        <x:v>Curated or summarized</x:v>
      </x:c>
    </x:row>
    <x:row r="21">
      <x:c r="A21" s="135" t="str">
        <x:v>E3_nonlinear_profiles.csv</x:v>
      </x:c>
      <x:c r="B21" s="135" t="str">
        <x:v>results/tables/E3_nonlinear_profiles.csv</x:v>
      </x:c>
      <x:c r="C21" s="135" t="str">
        <x:v>CSV</x:v>
      </x:c>
      <x:c r="D21" s="306" t="n">
        <x:v>1088</x:v>
      </x:c>
      <x:c r="E21" s="135" t="str">
        <x:v>Profiles (derived 1D minima)</x:v>
      </x:c>
      <x:c r="F21" s="135" t="str">
        <x:v>Curated or summarized</x:v>
      </x:c>
    </x:row>
    <x:row r="22">
      <x:c r="A22" s="135" t="str">
        <x:v>E3_operating_point_design_sensitivity.csv</x:v>
      </x:c>
      <x:c r="B22" s="135" t="str">
        <x:v>results/tables/E3_operating_point_design_sensitivity.csv</x:v>
      </x:c>
      <x:c r="C22" s="135" t="str">
        <x:v>CSV</x:v>
      </x:c>
      <x:c r="D22" s="306" t="n">
        <x:v>9</x:v>
      </x:c>
      <x:c r="E22" s="135" t="str">
        <x:v>Design; Robustness</x:v>
      </x:c>
      <x:c r="F22" s="135" t="str">
        <x:v>Curated or summarized</x:v>
      </x:c>
    </x:row>
    <x:row r="23">
      <x:c r="A23" s="135" t="str">
        <x:v>E3_patchy_weights.csv</x:v>
      </x:c>
      <x:c r="B23" s="135" t="str">
        <x:v>results/tables/E3_patchy_weights.csv</x:v>
      </x:c>
      <x:c r="C23" s="135" t="str">
        <x:v>CSV</x:v>
      </x:c>
      <x:c r="D23" s="306" t="n">
        <x:v>59</x:v>
      </x:c>
      <x:c r="E23" s="135" t="str">
        <x:v>Indexed only; see full package table</x:v>
      </x:c>
      <x:c r="F23" s="135" t="str">
        <x:v>Not duplicated in workbook</x:v>
      </x:c>
    </x:row>
    <x:row r="24">
      <x:c r="A24" s="135" t="str">
        <x:v>E3_pressure_ablation.csv</x:v>
      </x:c>
      <x:c r="B24" s="135" t="str">
        <x:v>results/tables/E3_pressure_ablation.csv</x:v>
      </x:c>
      <x:c r="C24" s="135" t="str">
        <x:v>CSV</x:v>
      </x:c>
      <x:c r="D24" s="306" t="n">
        <x:v>300</x:v>
      </x:c>
      <x:c r="E24" s="135" t="str">
        <x:v>Indexed only; see full package table</x:v>
      </x:c>
      <x:c r="F24" s="135" t="str">
        <x:v>Not duplicated in workbook</x:v>
      </x:c>
    </x:row>
    <x:row r="25">
      <x:c r="A25" s="135" t="str">
        <x:v>E3_pressure_curves.csv</x:v>
      </x:c>
      <x:c r="B25" s="135" t="str">
        <x:v>results/tables/E3_pressure_curves.csv</x:v>
      </x:c>
      <x:c r="C25" s="135" t="str">
        <x:v>CSV</x:v>
      </x:c>
      <x:c r="D25" s="306" t="n">
        <x:v>72</x:v>
      </x:c>
      <x:c r="E25" s="135" t="str">
        <x:v>Indexed only; see full package table</x:v>
      </x:c>
      <x:c r="F25" s="135" t="str">
        <x:v>Not duplicated in workbook</x:v>
      </x:c>
    </x:row>
    <x:row r="26">
      <x:c r="A26" s="135" t="str">
        <x:v>E3_pressure_design_grid.csv</x:v>
      </x:c>
      <x:c r="B26" s="135" t="str">
        <x:v>results/tables/E3_pressure_design_grid.csv</x:v>
      </x:c>
      <x:c r="C26" s="135" t="str">
        <x:v>CSV</x:v>
      </x:c>
      <x:c r="D26" s="306" t="n">
        <x:v>2176</x:v>
      </x:c>
      <x:c r="E26" s="135" t="str">
        <x:v>Indexed only; see full package table</x:v>
      </x:c>
      <x:c r="F26" s="135" t="str">
        <x:v>Not duplicated in workbook</x:v>
      </x:c>
    </x:row>
    <x:row r="27">
      <x:c r="A27" s="135" t="str">
        <x:v>E3_pressure_independence_audit.csv</x:v>
      </x:c>
      <x:c r="B27" s="135" t="str">
        <x:v>results/tables/E3_pressure_independence_audit.csv</x:v>
      </x:c>
      <x:c r="C27" s="135" t="str">
        <x:v>CSV</x:v>
      </x:c>
      <x:c r="D27" s="306" t="n">
        <x:v>6</x:v>
      </x:c>
      <x:c r="E27" s="135" t="str">
        <x:v>Discrepancy controls</x:v>
      </x:c>
      <x:c r="F27" s="135" t="str">
        <x:v>Curated or summarized</x:v>
      </x:c>
    </x:row>
    <x:row r="28">
      <x:c r="A28" s="135" t="str">
        <x:v>E3_profile_widths.csv</x:v>
      </x:c>
      <x:c r="B28" s="135" t="str">
        <x:v>results/tables/E3_profile_widths.csv</x:v>
      </x:c>
      <x:c r="C28" s="135" t="str">
        <x:v>CSV</x:v>
      </x:c>
      <x:c r="D28" s="306" t="n">
        <x:v>8</x:v>
      </x:c>
      <x:c r="E28" s="135" t="str">
        <x:v>Profiles</x:v>
      </x:c>
      <x:c r="F28" s="135" t="str">
        <x:v>Curated or summarized</x:v>
      </x:c>
    </x:row>
    <x:row r="29">
      <x:c r="A29" s="135" t="str">
        <x:v>E3_rank_one_design_map.csv</x:v>
      </x:c>
      <x:c r="B29" s="135" t="str">
        <x:v>results/tables/E3_rank_one_design_map.csv</x:v>
      </x:c>
      <x:c r="C29" s="135" t="str">
        <x:v>CSV</x:v>
      </x:c>
      <x:c r="D29" s="306" t="n">
        <x:v>21901</x:v>
      </x:c>
      <x:c r="E29" s="135" t="str">
        <x:v>Indexed only; see full package table</x:v>
      </x:c>
      <x:c r="F29" s="135" t="str">
        <x:v>Not duplicated in workbook</x:v>
      </x:c>
    </x:row>
    <x:row r="30">
      <x:c r="A30" s="135" t="str">
        <x:v>E3_reference_pressure_sensitivity.csv</x:v>
      </x:c>
      <x:c r="B30" s="135" t="str">
        <x:v>results/tables/E3_reference_pressure_sensitivity.csv</x:v>
      </x:c>
      <x:c r="C30" s="135" t="str">
        <x:v>CSV</x:v>
      </x:c>
      <x:c r="D30" s="306" t="n">
        <x:v>12</x:v>
      </x:c>
      <x:c r="E30" s="135" t="str">
        <x:v>Design</x:v>
      </x:c>
      <x:c r="F30" s="135" t="str">
        <x:v>Curated or summarized</x:v>
      </x:c>
    </x:row>
    <x:row r="31">
      <x:c r="A31" s="135" t="str">
        <x:v>E3_target_aligned_discrepancy.csv</x:v>
      </x:c>
      <x:c r="B31" s="135" t="str">
        <x:v>results/tables/E3_target_aligned_discrepancy.csv</x:v>
      </x:c>
      <x:c r="C31" s="135" t="str">
        <x:v>CSV</x:v>
      </x:c>
      <x:c r="D31" s="306" t="n">
        <x:v>10</x:v>
      </x:c>
      <x:c r="E31" s="135" t="str">
        <x:v>Discrepancy controls</x:v>
      </x:c>
      <x:c r="F31" s="135" t="str">
        <x:v>Curated or summarized</x:v>
      </x:c>
    </x:row>
    <x:row r="32">
      <x:c r="A32" s="136" t="str">
        <x:v>E3_trajectory_specific_designs.csv</x:v>
      </x:c>
      <x:c r="B32" s="136" t="str">
        <x:v>results/tables/E3_trajectory_specific_designs.csv</x:v>
      </x:c>
      <x:c r="C32" s="136" t="str">
        <x:v>CSV</x:v>
      </x:c>
      <x:c r="D32" s="307" t="n">
        <x:v>4</x:v>
      </x:c>
      <x:c r="E32" s="136" t="str">
        <x:v>Design; Robustness</x:v>
      </x:c>
      <x:c r="F32" s="136" t="str">
        <x:v>Curated or summarized</x:v>
      </x:c>
    </x:row>
    <x:row r="35">
      <x:c r="A35" s="147" t="str">
        <x:v>Upstream provenance anchors</x:v>
      </x:c>
      <x:c r="B35" s="147" t="str">
        <x:v>Upstream provenance anchors</x:v>
      </x:c>
      <x:c r="C35" s="147" t="str">
        <x:v>Upstream provenance anchors</x:v>
      </x:c>
      <x:c r="D35" s="147" t="str">
        <x:v>Upstream provenance anchors</x:v>
      </x:c>
    </x:row>
    <x:row r="36">
      <x:c r="A36" s="155" t="str">
        <x:v>Artifact key</x:v>
      </x:c>
      <x:c r="B36" s="156" t="str">
        <x:v>Digest</x:v>
      </x:c>
      <x:c r="C36" s="156" t="str">
        <x:v>Algorithm</x:v>
      </x:c>
      <x:c r="D36" s="157" t="str">
        <x:v>Scope</x:v>
      </x:c>
    </x:row>
    <x:row r="37">
      <x:c r="A37" s="134" t="str">
        <x:v>E1_expected_summary_sha256</x:v>
      </x:c>
      <x:c r="B37" s="308" t="str">
        <x:v>9ecc0afdbc5fdcc04910d46597f217af8b1e9d62811774d5ce993066f5b6d55b</x:v>
      </x:c>
      <x:c r="C37" s="134" t="str">
        <x:v>SHA-256</x:v>
      </x:c>
      <x:c r="D37" s="134" t="str">
        <x:v>Upstream E1/E2/core input anchor; not an E3 output-file hash</x:v>
      </x:c>
    </x:row>
    <x:row r="38">
      <x:c r="A38" s="135" t="str">
        <x:v>E2_bootstrap_replicates_sha256</x:v>
      </x:c>
      <x:c r="B38" s="309" t="str">
        <x:v>b0f1771418a06824aaee97996f4a6d40d4de4ff2229c15d519979e1a37222d91</x:v>
      </x:c>
      <x:c r="C38" s="135" t="str">
        <x:v>SHA-256</x:v>
      </x:c>
      <x:c r="D38" s="135" t="str">
        <x:v>Upstream E1/E2/core input anchor; not an E3 output-file hash</x:v>
      </x:c>
    </x:row>
    <x:row r="39">
      <x:c r="A39" s="135" t="str">
        <x:v>E2_summary_sha256</x:v>
      </x:c>
      <x:c r="B39" s="309" t="str">
        <x:v>d8318e8737cb92ec7b70bf926a2458f960a5b7bfbdb79d130dc4de441d2d4383</x:v>
      </x:c>
      <x:c r="C39" s="135" t="str">
        <x:v>SHA-256</x:v>
      </x:c>
      <x:c r="D39" s="135" t="str">
        <x:v>Upstream E1/E2/core input anchor; not an E3 output-file hash</x:v>
      </x:c>
    </x:row>
    <x:row r="40">
      <x:c r="A40" s="136" t="str">
        <x:v>rpia_core_sha256</x:v>
      </x:c>
      <x:c r="B40" s="310" t="str">
        <x:v>b41a6ec9471ffccb03d586cb8c8c1231a937a909e72f3aeb9434b03b2d1ab80a</x:v>
      </x:c>
      <x:c r="C40" s="136" t="str">
        <x:v>SHA-256</x:v>
      </x:c>
      <x:c r="D40" s="136" t="str">
        <x:v>Upstream E1/E2/core input anchor; not an E3 output-file hash</x:v>
      </x:c>
    </x:row>
    <x:row r="43">
      <x:c r="A43" s="163" t="str">
        <x:v>Units and formula conventions</x:v>
      </x:c>
      <x:c r="B43" s="163" t="str">
        <x:v>Units and formula conventions</x:v>
      </x:c>
      <x:c r="C43" s="163" t="str">
        <x:v>Units and formula conventions</x:v>
      </x:c>
      <x:c r="D43" s="163" t="str">
        <x:v>Units and formula conventions</x:v>
      </x:c>
      <x:c r="E43" s="163" t="str">
        <x:v>Units and formula conventions</x:v>
      </x:c>
      <x:c r="F43" s="163" t="str">
        <x:v>Units and formula conventions</x:v>
      </x:c>
      <x:c r="G43" s="163" t="str">
        <x:v>Units and formula conventions</x:v>
      </x:c>
      <x:c r="H43" s="163" t="str">
        <x:v>Units and formula conventions</x:v>
      </x:c>
    </x:row>
    <x:row r="44">
      <x:c r="A44" s="183" t="str">
        <x:v>Vcem fractions are converted to volume percent by multiplying by 100; Vcem uncertainty and profile width are reported in percentage points. Spectral ratio = λmin/λmax. Jacobian condition = sqrt(λmax/λmin). λmin gain = λmin/baseline λmin. Worst-SD reduction = sqrt(λmin gain). Multiplicative Cn uncertainty is exp(SD ln Cn). Eigen-information metrics are dimensionless after whitening and target scaling (0.015 for Vcem and 0.20 for ln Cn).</x:v>
      </x:c>
      <x:c r="B44" s="184"/>
      <x:c r="C44" s="184"/>
      <x:c r="D44" s="184"/>
      <x:c r="E44" s="184"/>
      <x:c r="F44" s="184"/>
      <x:c r="G44" s="184"/>
      <x:c r="H44" s="185"/>
    </x:row>
    <x:row r="45">
      <x:c r="A45" s="186"/>
      <x:c r="B45" s="187"/>
      <x:c r="C45" s="187"/>
      <x:c r="D45" s="187"/>
      <x:c r="E45" s="187"/>
      <x:c r="F45" s="187"/>
      <x:c r="G45" s="187"/>
      <x:c r="H45" s="188"/>
    </x:row>
    <x:row r="46">
      <x:c r="A46" s="186"/>
      <x:c r="B46" s="187"/>
      <x:c r="C46" s="187"/>
      <x:c r="D46" s="187"/>
      <x:c r="E46" s="187"/>
      <x:c r="F46" s="187"/>
      <x:c r="G46" s="187"/>
      <x:c r="H46" s="188"/>
    </x:row>
    <x:row r="47">
      <x:c r="A47" s="186"/>
      <x:c r="B47" s="187"/>
      <x:c r="C47" s="187"/>
      <x:c r="D47" s="187"/>
      <x:c r="E47" s="187"/>
      <x:c r="F47" s="187"/>
      <x:c r="G47" s="187"/>
      <x:c r="H47" s="188"/>
    </x:row>
    <x:row r="48">
      <x:c r="A48" s="186"/>
      <x:c r="B48" s="187"/>
      <x:c r="C48" s="187"/>
      <x:c r="D48" s="187"/>
      <x:c r="E48" s="187"/>
      <x:c r="F48" s="187"/>
      <x:c r="G48" s="187"/>
      <x:c r="H48" s="188"/>
    </x:row>
    <x:row r="49">
      <x:c r="A49" s="189"/>
      <x:c r="B49" s="190"/>
      <x:c r="C49" s="190"/>
      <x:c r="D49" s="190"/>
      <x:c r="E49" s="190"/>
      <x:c r="F49" s="190"/>
      <x:c r="G49" s="190"/>
      <x:c r="H49" s="191"/>
    </x:row>
  </x:sheetData>
  <x:mergeCells>
    <x:mergeCell ref="A1:H1"/>
    <x:mergeCell ref="A2:H2"/>
    <x:mergeCell ref="A35:D35"/>
    <x:mergeCell ref="A43:H43"/>
    <x:mergeCell ref="A44:H49"/>
  </x:mergeCells>
  <x:pageMargins left="0.7" right="0.7" top="0.75" bottom="0.75" header="0.3" footer="0.3"/>
  <x:tableParts count="2">
    <x:tablePart xmlns:r="http://schemas.openxmlformats.org/officeDocument/2006/relationships" r:id="R5ff7882f7b8646d2"/>
    <x:tablePart xmlns:r="http://schemas.openxmlformats.org/officeDocument/2006/relationships" r:id="R4bfe146f11de4302"/>
  </x:tableParts>
</x:worksheet>
</file>